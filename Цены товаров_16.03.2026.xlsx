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нструкция" sheetId="1" r:id="rId1" state="visible"/>
    <sheet name="Товары и цены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<sst xmlns="http://schemas.openxmlformats.org/spreadsheetml/2006/main" count="360" uniqueCount="360">
  <si>
    <t>Как работать с шаблоном</t>
  </si>
  <si>
    <t>1</t>
  </si>
  <si>
    <t>Скачивайте шаблон в личном кабинете</t>
  </si>
  <si>
    <t>Перед каждой загрузкой файла скачивайте новый шаблон в личном кабинете. Мы регулярно обновляем шаблон, чтобы он был максимально точным и удобным.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</si>
  <si>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</si>
  <si>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</si>
  <si>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Заполняйте поля только в синих столбцах</t>
  </si>
  <si>
    <t>На листе «Товары и цены»:
	1. Укажите новые цены или скидки. Если вы не хотите менять какую-то цену, оставьте ячейку пустой — для нее останется старое значение. Обновятся только значения заполненных ячеек. 
	2. Если вы хотите изменить текущую цену товара в большую сторону и удалить цену до скидки, необходимо указать новое значение цены в графу "Новая цена (со скидкой)", а в графу "Новая цена до скидки" установить 0. 
	3. Вы можете включить стратегию ценообразования «Следовать за рыночной ценой» — текущая цена будет автоматически меняться на рыночную. В графе "Автоматически применять самую выгодную цену" укажите: "ДА" — чтобы цена назначалась автоматически, "НЕТ" — чтобы цена не назначалась, или оставьте ячейку пустой — чтобы оставить настройки без изменения или не использовать автоматическое применение (если у вас нет настроек). Затем в столбце "Новая минимальная цена" укажите значение, меньше которого цена не может стать.</t>
  </si>
  <si>
    <t>Используемая валюта</t>
  </si>
  <si>
    <t>RUB</t>
  </si>
  <si>
    <t>Язык шаблона</t>
  </si>
  <si>
    <t>ru</t>
  </si>
  <si>
    <t>Основные характеристики товара</t>
  </si>
  <si>
    <t>Аналитика по продажам за 7 дней</t>
  </si>
  <si>
    <t>Текущие цены и скидки</t>
  </si>
  <si>
    <t>Рыночные цены</t>
  </si>
  <si>
    <t>Параметры ценовых индексов</t>
  </si>
  <si>
    <t>Комиссии и тарифы для текущей цены</t>
  </si>
  <si>
    <t>Новые цены</t>
  </si>
  <si>
    <t>Дополнительные настройки</t>
  </si>
  <si>
    <t>Артикул</t>
  </si>
  <si>
    <t>SKU</t>
  </si>
  <si>
    <t>Название товара</t>
  </si>
  <si>
    <t>Статус</t>
  </si>
  <si>
    <t>Видимость на OZON</t>
  </si>
  <si>
    <t>На складе Ozon</t>
  </si>
  <si>
    <t>На моих складах</t>
  </si>
  <si>
    <t>Объем, л</t>
  </si>
  <si>
    <t>Объемный вес, кг</t>
  </si>
  <si>
    <t>Штрихкод</t>
  </si>
  <si>
    <t>Заказано на сумму</t>
  </si>
  <si>
    <t>Показы всего</t>
  </si>
  <si>
    <t>Конверсия из показа в заказ</t>
  </si>
  <si>
    <t>Заказано товаров</t>
  </si>
  <si>
    <t>Цена до скидки, руб.</t>
  </si>
  <si>
    <t>Текущая цена (со скидкой), руб.</t>
  </si>
  <si>
    <t>Скидка, %</t>
  </si>
  <si>
    <t>Скидка, руб.</t>
  </si>
  <si>
    <t>Цена с учетом акции или стратегии, руб.</t>
  </si>
  <si>
    <t>Скидка с учетом акции, %</t>
  </si>
  <si>
    <t>Скидка с учетом акции, руб.</t>
  </si>
  <si>
    <t>НДС, %</t>
  </si>
  <si>
    <t>Минимальная цена, руб.</t>
  </si>
  <si>
    <t>Настройка "Учитывать минимальную цену при автодобавлении в акции"</t>
  </si>
  <si>
    <t>Осталось дней действия настройки "Учитывать минимальную цену при автодобавлении в акции"</t>
  </si>
  <si>
    <t>Настройка стратегии ценообразования «Удерживайте выгодную цену»</t>
  </si>
  <si>
    <t>Себестоимость</t>
  </si>
  <si>
    <t>Маржинальность по FBO</t>
  </si>
  <si>
    <t>Маржинальность по FBS</t>
  </si>
  <si>
    <t>Подключение подходящих акций</t>
  </si>
  <si>
    <t>Автодобавление товара в акции</t>
  </si>
  <si>
    <t>Рыночная цена на Ozon, руб.</t>
  </si>
  <si>
    <t>Рыночная цена конкурентов, руб.</t>
  </si>
  <si>
    <t>Моя цена на других площадках, руб.</t>
  </si>
  <si>
    <t>Ссылка на рыночную цену конкурентов</t>
  </si>
  <si>
    <t>Ссылка на рыночную цену на мои товары</t>
  </si>
  <si>
    <t>Индекс цен</t>
  </si>
  <si>
    <t>Ценовой индекс товара на Ozon</t>
  </si>
  <si>
    <t>Ценовой индекс товара на рынке</t>
  </si>
  <si>
    <t>Ценовой индекс товара на рынке на мои товары</t>
  </si>
  <si>
    <t>Эквайринг</t>
  </si>
  <si>
    <t>Вознаграждение Ozon, FBO, %</t>
  </si>
  <si>
    <t>Логистика Ozon, минимум, FBO</t>
  </si>
  <si>
    <t>Логистика Ozon, максимум, FBO</t>
  </si>
  <si>
    <t>Доставка до места выдачи, FBO</t>
  </si>
  <si>
    <t>Вознаграждение Ozon, FBS, %</t>
  </si>
  <si>
    <t>Обработка отправления, минимум FBS</t>
  </si>
  <si>
    <t>Обработка отправления, максимум FBS</t>
  </si>
  <si>
    <t>Логистика Ozon, минимум, FBS</t>
  </si>
  <si>
    <t>Логистика Ozon, максимум, FBS</t>
  </si>
  <si>
    <t>Доставка до места выдачи, FBS</t>
  </si>
  <si>
    <t>Новая цена до скидки, руб.</t>
  </si>
  <si>
    <t>Новая цена (со скидкой), руб.</t>
  </si>
  <si>
    <t>Новый НДС, %</t>
  </si>
  <si>
    <t>Новая себестоимость</t>
  </si>
  <si>
    <t>Стратегия ценообразования «Удерживайте выгодную цену»</t>
  </si>
  <si>
    <t>Новая минимальная цена, руб.</t>
  </si>
  <si>
    <t>Подключать подходящие акции</t>
  </si>
  <si>
    <t>Учитывать минимальную цену при автодобавлении в акции или продлить действие настройки</t>
  </si>
  <si>
    <t>Автоматически добавлять товар в акции</t>
  </si>
  <si>
    <t>Нередактируемое</t>
  </si>
  <si>
    <t>Редактируемое</t>
  </si>
  <si>
    <t>Общая стоимость заказанных товаров, включая отмены и возвраты. Для расчёта берём вашу цену</t>
  </si>
  <si>
    <t>Количество показов на всех страницах сайта</t>
  </si>
  <si>
    <t>Отношение количества заказов к количеству показов товара на всех страницах сайта</t>
  </si>
  <si>
    <t>Общее количество заказанных и оплаченных товаров. Количество возвращённых и отменёных товаров включено</t>
  </si>
  <si>
    <t>Цена отображается зачеркнутой.</t>
  </si>
  <si>
    <t>По этой цене товар продается на Ozon, если он не участвует в стратегии ценообразования или акции.</t>
  </si>
  <si>
    <t>Рассчитывается от цены до скидки и текущей цены.</t>
  </si>
  <si>
    <t>По этой цене товар продается на Ozon, если он участвует в стратегии ценообразования или акции (на момент скачивания шаблона).</t>
  </si>
  <si>
    <t>Рассчитывается от цены до скидки и цены с учетом акции.</t>
  </si>
  <si>
    <t>Цена не сможет стать ниже при автоматическом применении рыночной цены.</t>
  </si>
  <si>
    <t>Если указано "ДА", то для товара учитывается минимальная цена при автодобавлении в акции.</t>
  </si>
  <si>
    <t>По истечении данного срока минимальная цена перестанет учитываться при автодобавлении в акции.</t>
  </si>
  <si>
    <t>Если указано "ДА", то для товара включено автоматическое применение самой выгодной цены.</t>
  </si>
  <si>
    <t>Значение себестоимости товара без учёта расходов на Ozon</t>
  </si>
  <si>
    <t>Рассчитали автоматически с учётом вашей цены, себестоимости и расходов по схеме FBO</t>
  </si>
  <si>
    <t>Рассчитали автоматически с учётом вашей цены, себестоимости и расходов по схеме FBS</t>
  </si>
  <si>
    <t>Если указано "ДА", то для товара включено автоматическое добавление во все доступные акции Ozon.</t>
  </si>
  <si>
    <t>Если указано "ДА", то для товара включено автоматическое добавление в акции.</t>
  </si>
  <si>
    <t>Минимальная цена на Ozon (на момент скачивания шаблона).</t>
  </si>
  <si>
    <t>Минимальная цена конкурентов на других площадках (на момент скачивания шаблона).</t>
  </si>
  <si>
    <t>Ваша минимальная цена на других площадках (на момент скачивания шаблона).</t>
  </si>
  <si>
    <t>Ссылка на предложение на другой площадке (на момент скачивания шаблона).</t>
  </si>
  <si>
    <t>Расчетный показатель, показывающий текущую ситуацию с рыночными ценами товара.</t>
  </si>
  <si>
    <t>Расчетный показатель отклонения ваших цен на Озон от цен других продавцов на Ozon. Максимальное значение - 1,99, минимальное значение - 0,01.</t>
  </si>
  <si>
    <t>Расчетный показатель отклонения ваших цен на Озон от цен других продавцов на других площадках. Максимальное значение - 1,99, минимальное значение - 0,01.</t>
  </si>
  <si>
    <t>Расчетный показатель отклонения ваших цен на Озон от ваших цен на других площадках. Максимальное значение - 1,99, минимальное значение - 0,01.</t>
  </si>
  <si>
    <t>Столько максимально будет стоить комиссия за безналичные платежи от покупателей. Тариф устанавливает банк.</t>
  </si>
  <si>
    <t>Зависит от категории товара и схемы продажи.</t>
  </si>
  <si>
    <t>Зависит от объёма товара и индекса локализации. Столько минимально придётся заплатить за доставку товара при хорошем индексе локализации.</t>
  </si>
  <si>
    <t>Зависит от объёма товара и индекса локализации. Столько максимально придётся заплатить за доставку товара при плохом индексе локализации.</t>
  </si>
  <si>
    <t>Предварительная стоимость услуг партнеров-исполнителей за доставку и выдачу товара. Тариф зависит от стоимости услуг партнеров.</t>
  </si>
  <si>
    <t>Столько минимально будет стоить отгрузка отправления в пункте приёма.</t>
  </si>
  <si>
    <t>Столько максимально будет стоить отгрузка отправления в пункте приёма.</t>
  </si>
  <si>
    <t>Цена будет отображаться зачеркнутой.</t>
  </si>
  <si>
    <t>По этой цене товар будет продаваться на Ozon.
Если товар участвует в стратегии ценообразования — сохраним цену, но обновим её, когда отключите стратегию.</t>
  </si>
  <si>
    <t>Рассчитывается по ценам до скидки и со скидкой.</t>
  </si>
  <si>
    <t>Укажите себестоимость, чтобы узнать примерную маржинальность товара. Себестоимость — сумма всех затрат на производство или закупку товара, включая материалы и прочие издержки — без учёта затрат на площадке.</t>
  </si>
  <si>
    <t>Выберите "ДА", чтобы автоматически применять самую выгодную цену для товара.  Выберите "НЕТ", чтобы отказаться от  применения. Оставьте ячейку пустой, чтобы оставить настройки без изменения или не использовать автоматическое применение — если у вас нет настроек.</t>
  </si>
  <si>
    <t>Укажите значение, меньше которого цена не сможет стать. Это значение не может быть больше текущей цены.</t>
  </si>
  <si>
    <t>Выберите "ДА", чтобы автоматически добавлять товар во все доступные акции Ozon. Цена не опустится ниже минимальной. Выберите "НЕТ", чтобы отключить настройку. Ничего не указывайте, если ячейка пустая, и вы не хотите включать настройку.</t>
  </si>
  <si>
    <t>Выберите "ДА", чтобы включить настройку или продлить её действие. Тогда цена товара не опустится ниже указанной минимальной. Выберите "НЕТ", чтобы отключить настройку.</t>
  </si>
  <si>
    <t>Выберите "ДА", чтобы автоматически добавлять товары в акции. Выберите "НЕТ", чтобы отключить автодобавление. Ничего не указывайте, если ячейка пустая, и вы не хотите отключать автодобавление.</t>
  </si>
  <si>
    <t>rm-sesame-60-10</t>
  </si>
  <si>
    <t>Сезамин (Sesamin) 60 шт от RestoreMind по 10мг</t>
  </si>
  <si>
    <t>Готов к продаже</t>
  </si>
  <si>
    <t>да</t>
  </si>
  <si>
    <t>OZN1215255822</t>
  </si>
  <si>
    <t>5</t>
  </si>
  <si>
    <t>НЕТ</t>
  </si>
  <si>
    <t>0 (не учитывается)</t>
  </si>
  <si>
    <t>rm-sper-60-3</t>
  </si>
  <si>
    <t>Спермидин 3 мг 60шт</t>
  </si>
  <si>
    <t>Продается</t>
  </si>
  <si>
    <t>OZN1217169821</t>
  </si>
  <si>
    <t>https://wildberries.ru/catalog/274781479/detail.aspx</t>
  </si>
  <si>
    <t>Невыгодный</t>
  </si>
  <si>
    <t>rm-fado-60-300</t>
  </si>
  <si>
    <t>Фадогия Агрестис экстракт Restoremind 60 капсул по 300мг</t>
  </si>
  <si>
    <t>OZN1226064128</t>
  </si>
  <si>
    <t>rm-nac-60-500</t>
  </si>
  <si>
    <t>NAC N-ацетилцистеин Restoremind антиоксидант для легких и печени 60 капсул по 500мг</t>
  </si>
  <si>
    <t>Не продается</t>
  </si>
  <si>
    <t>нет</t>
  </si>
  <si>
    <t>OZN1226883619</t>
  </si>
  <si>
    <t>rm-horse-60-250</t>
  </si>
  <si>
    <t>Каштан конский экстракт Restoremind 60 капсул по 250мг</t>
  </si>
  <si>
    <t>OZN1239616712</t>
  </si>
  <si>
    <t>rm-cordm60300</t>
  </si>
  <si>
    <t>Кордицепс Экстракт от Restoremind, 45% полисахаридов 60 капсул по 300мг</t>
  </si>
  <si>
    <t>OZN1268504294</t>
  </si>
  <si>
    <t>rm-maggl-60-200</t>
  </si>
  <si>
    <t>Магний глицинат от Restoremind, чистая хелатная форма 60 капсул по 200мг, для расслабления и нервной системы</t>
  </si>
  <si>
    <t>OZN1268702850</t>
  </si>
  <si>
    <t>rm-ltyro-60-400</t>
  </si>
  <si>
    <t>Тирозин (L-Tyrosine) от Restoremind 60 капсул по 400мг, аминокислота для энергии и настроения</t>
  </si>
  <si>
    <t>OZN1268674183</t>
  </si>
  <si>
    <t>rm-ptero-60-50</t>
  </si>
  <si>
    <t>Птеростильбен (Pterostilbene) от Restoremind, 60 капсул по 50мг</t>
  </si>
  <si>
    <t>OZN1268676875</t>
  </si>
  <si>
    <t>rm-maggl-60-400</t>
  </si>
  <si>
    <t>Магний глицинат от Restoremind, чистая хелатная форма 60 капсул по 400мг</t>
  </si>
  <si>
    <t>OZN1275104601</t>
  </si>
  <si>
    <t>rm-agpc5-30-300</t>
  </si>
  <si>
    <t>Альфа-ГФХ 50% (ALPHA-GPC 50%) от Restoremind, 30 капсул по 300мг, ацетилхолин добавка для памяти и концентрации</t>
  </si>
  <si>
    <t>OZN1275116444</t>
  </si>
  <si>
    <t>rm-agpc5-60-300</t>
  </si>
  <si>
    <t>Альфа-ГФХ 50% (ALPHA-GPC 50%) от Restoremind, 60 капсул по 300мг</t>
  </si>
  <si>
    <t>OZN1275116488</t>
  </si>
  <si>
    <t>rm-sper-60-5</t>
  </si>
  <si>
    <t>Спермидин (Spermidine) 5мг 60 капсул от RestoreMind</t>
  </si>
  <si>
    <t>OZN1275993197</t>
  </si>
  <si>
    <t>rm-lions-60-300</t>
  </si>
  <si>
    <t>Экстракт Ежовика гребенчатого от Restoremind, 45% полисахаридов 60 капсул по 300мг</t>
  </si>
  <si>
    <t>OZN1276020826</t>
  </si>
  <si>
    <t>rm-dmae-60-300</t>
  </si>
  <si>
    <t>ДМАЭ (DMAE) от RestoreMind 60 капсул по 300мг, холин природная добавка для мозга, памяти и кожи</t>
  </si>
  <si>
    <t>OZN1283661783</t>
  </si>
  <si>
    <t>rm-maglt-60-350</t>
  </si>
  <si>
    <t>Магний треонат от Restoremind, 60 капсул по 350мг</t>
  </si>
  <si>
    <t>OZN1289044743</t>
  </si>
  <si>
    <t>rm-lthea-60-200</t>
  </si>
  <si>
    <t>L-Теанин от Restoremind 60 капсул по 200мг</t>
  </si>
  <si>
    <t>OZN1289053797</t>
  </si>
  <si>
    <t>rm-gaba-60-400</t>
  </si>
  <si>
    <t>GABA (ГАБА, ГАМК) от Restoremind, 60 капсул по 400мг</t>
  </si>
  <si>
    <t>OZN1290697409</t>
  </si>
  <si>
    <t>rm-taur-60-500</t>
  </si>
  <si>
    <t>Таурин от Restoremind 60 капсул по 500мг, аминокислота для здоровья мозга и сердца</t>
  </si>
  <si>
    <t>OZN1304404909</t>
  </si>
  <si>
    <t>rm-magci-60-400</t>
  </si>
  <si>
    <t>Магний цитрат от Restoremind 60 капсул по 400мг</t>
  </si>
  <si>
    <t>OZN1304421794</t>
  </si>
  <si>
    <t>rm-magta-60-400</t>
  </si>
  <si>
    <t>Магний Таурат от Restoremind, 60 капсул по 400мг</t>
  </si>
  <si>
    <t>OZN1317607232</t>
  </si>
  <si>
    <t>rm-5htpb-60-50</t>
  </si>
  <si>
    <t>5-HTP 50 мг от Restoremind 60 капсул с витамином В6, чистая формула</t>
  </si>
  <si>
    <t>OZN1317717177</t>
  </si>
  <si>
    <t>rm-nmn-60-250</t>
  </si>
  <si>
    <t>NMN - Никотинамид мононуклеотид от Restoremind в капсулах, 60 капсул по 250мг</t>
  </si>
  <si>
    <t>OZN1320600531</t>
  </si>
  <si>
    <t>https://wildberries.ru/catalog/614095264/detail.aspx</t>
  </si>
  <si>
    <t>rm-fiset-60-100</t>
  </si>
  <si>
    <t>Физетин от Restoremind, 60 капсул по 100мг</t>
  </si>
  <si>
    <t>OZN1423388777</t>
  </si>
  <si>
    <t>rm-fiset-30-100</t>
  </si>
  <si>
    <t>Физетин от Restoremind, 30 капсул по 100мг, ноотропная антиэйдж добавка, биофизетин</t>
  </si>
  <si>
    <t>OZN1423394527</t>
  </si>
  <si>
    <t>rm-spne-60-2</t>
  </si>
  <si>
    <t>Спермин (Spermine) от RestoreMind 60 капсул по 2мг</t>
  </si>
  <si>
    <t>OZN1447400201</t>
  </si>
  <si>
    <t>https://wildberries.ru/catalog/459036658/detail.aspx</t>
  </si>
  <si>
    <t>rm-sper-60-10</t>
  </si>
  <si>
    <t>Спермидин (Spermidine) 10мг 60 капсул от RestoreMind</t>
  </si>
  <si>
    <t>OZN1514932838</t>
  </si>
  <si>
    <t>https://wildberries.ru/catalog/437323825/detail.aspx</t>
  </si>
  <si>
    <t>ra-sper5-60-5</t>
  </si>
  <si>
    <t>SPERMIDINE 5 (Спермидин) от RestoreAge 60 капсул по 5мг</t>
  </si>
  <si>
    <t>OZN1611030793</t>
  </si>
  <si>
    <t>ll-ses10-60-10</t>
  </si>
  <si>
    <t>SESAMINE 10 (Сезамин) от Longilife Nutrition 60 капсул по 10мг</t>
  </si>
  <si>
    <t>OZN1611873265</t>
  </si>
  <si>
    <t>rm-cyclo-60-5</t>
  </si>
  <si>
    <t>Циклоастрагенол от RestoreMind 60 капсул по 5мг</t>
  </si>
  <si>
    <t>OZN1628350929</t>
  </si>
  <si>
    <t>rm-cyclo-30-5</t>
  </si>
  <si>
    <t>Циклоастрагенол от RestoreMind 30 капсул по 5мг</t>
  </si>
  <si>
    <t>OZN1628351598</t>
  </si>
  <si>
    <t>rm-caakg-60-350</t>
  </si>
  <si>
    <t>Кальций Альфа-кетоглутарат (Ca-AKG) от RestoreMind 60 капсул по 350мг</t>
  </si>
  <si>
    <t>OZN1645540894</t>
  </si>
  <si>
    <t>rm-nalt-60-200</t>
  </si>
  <si>
    <t>N-ацетил-L-тирозин (NALT) от Restoremind, 60 шт по 200мг</t>
  </si>
  <si>
    <t>OZN1645582979</t>
  </si>
  <si>
    <t>rm-brah-60-250</t>
  </si>
  <si>
    <t>Экстракт Бакопы Монье 10:1 от Restoremind, 20% бакозидов 60 капсул по 250мг</t>
  </si>
  <si>
    <t>OZN1647057368</t>
  </si>
  <si>
    <t>rm-iron-60-28</t>
  </si>
  <si>
    <t>Железо Глицинат от RestoreMind 60 капсул по 28мг, Витаминный комплекс</t>
  </si>
  <si>
    <t>OZN1749771634</t>
  </si>
  <si>
    <t>rm-chrom-60-280</t>
  </si>
  <si>
    <t>Хром Пиколинат от RestoreMind 60 капсул по 280мкг</t>
  </si>
  <si>
    <t>OZN1750567115</t>
  </si>
  <si>
    <t>rm-sperw-60-200</t>
  </si>
  <si>
    <t>Спермидин 200мг Экстракт Зародышей Пшеницы</t>
  </si>
  <si>
    <t>OZN1750615465</t>
  </si>
  <si>
    <t>ra-sper10-60-10</t>
  </si>
  <si>
    <t>SPERMIDINE 10 (Спермидин) от RestoreAge 60 капсул по 10мг</t>
  </si>
  <si>
    <t>OZN1750716206</t>
  </si>
  <si>
    <t>rm-garc-60-300</t>
  </si>
  <si>
    <t>Гарциния Камбоджийская от RestoreMind 60 капсул по 300мг, 60% ГЛК</t>
  </si>
  <si>
    <t>OZN1756723303</t>
  </si>
  <si>
    <t>rm-biot-60-5</t>
  </si>
  <si>
    <t>Биотин 5000 от RestoreMind 60 шт по 5мг</t>
  </si>
  <si>
    <t>OZN1761001944</t>
  </si>
  <si>
    <t>ra-pterc-60-50</t>
  </si>
  <si>
    <t>Pterostilbene (Птеростильбен) от RestoreAge, 60 капсул по 50мг с витамином С</t>
  </si>
  <si>
    <t>OZN1764968868</t>
  </si>
  <si>
    <t>rm-poms-60-100</t>
  </si>
  <si>
    <t>Экстракт Граната (Pomegranate) от Restoremind, 60 шт по 100мг</t>
  </si>
  <si>
    <t>OZN1765164650</t>
  </si>
  <si>
    <t>rm-scell-60</t>
  </si>
  <si>
    <t>SPERMICELL от RestoreMind 60 капсул, комплекс на основе спермидина 10мг</t>
  </si>
  <si>
    <t>OZN1838871151</t>
  </si>
  <si>
    <t>rm-vitc-60-530</t>
  </si>
  <si>
    <t>Витамин С от RestoreMind 60 капсул по 530 мг</t>
  </si>
  <si>
    <t>OZN1840393865</t>
  </si>
  <si>
    <t>rm-resv-60-200</t>
  </si>
  <si>
    <t>Ресвератрол от Restoremind, 60 шт по 100мг</t>
  </si>
  <si>
    <t>OZN1842476942</t>
  </si>
  <si>
    <t>ДА</t>
  </si>
  <si>
    <t>15</t>
  </si>
  <si>
    <t>rm-yohim-60-5</t>
  </si>
  <si>
    <t>Йохимбин Restoremind 60 шт по 5 мг</t>
  </si>
  <si>
    <t>OZN1842498795</t>
  </si>
  <si>
    <t>ra-sperp-60</t>
  </si>
  <si>
    <t>SPERMIDINE PRO (Спермидин ПРО) от RestoreAge 60 капсул, с биотином и цинком</t>
  </si>
  <si>
    <t>OZN1845870143</t>
  </si>
  <si>
    <t>ra-sper24-60</t>
  </si>
  <si>
    <t>SPERMIDINE 24 (Спермидин 24) от RestoreAge - 24мг спермидин</t>
  </si>
  <si>
    <t>OZN1863572693</t>
  </si>
  <si>
    <t>rm-eury-60-300</t>
  </si>
  <si>
    <t>Тонгкат Али экстракт Эврикомы 10к1 от Restoremind 60 капсул по 300мг растительная добавка</t>
  </si>
  <si>
    <t>OZN1893752404</t>
  </si>
  <si>
    <t>rm-lpa-60-300</t>
  </si>
  <si>
    <t>L-Фенилаланин от Restoremind 60 капсул по 300мг, аминокислота для энергии</t>
  </si>
  <si>
    <t>OZN1895100743</t>
  </si>
  <si>
    <t>rm-grape-60-100</t>
  </si>
  <si>
    <t>Экстракт виноградных косточек от Restoremind, 60 капсул по 100мг, стандартизирован OPC 95%</t>
  </si>
  <si>
    <t>OZN1906397535</t>
  </si>
  <si>
    <t>rm-pqq-60-20</t>
  </si>
  <si>
    <t>ПКК (PQQ) от Restoremind, 60 шт по 20мг</t>
  </si>
  <si>
    <t>OZN1953717417</t>
  </si>
  <si>
    <t>rm-zincp-60-25</t>
  </si>
  <si>
    <t>Цинк Пиколинат от RestoreMind 60 шт по 25мг</t>
  </si>
  <si>
    <t>OZN2022811666</t>
  </si>
  <si>
    <t>rm-glyn-60-550</t>
  </si>
  <si>
    <t>GLYNAC (ГлиНАК) от Restoremind, 60 шт по 550мг</t>
  </si>
  <si>
    <t>OZN2022917896</t>
  </si>
  <si>
    <t>rm-inosc-60-450</t>
  </si>
  <si>
    <t>Инозитол от Restoremind, 60 капсул по 450мг с витамином С</t>
  </si>
  <si>
    <t>OZN2023031914</t>
  </si>
  <si>
    <t>rm-nmnpt-60</t>
  </si>
  <si>
    <t>АнтиЭйдж комплекс NMN+ от Restoremind, NMN + Птеростильбен</t>
  </si>
  <si>
    <t>OZN2354223232</t>
  </si>
  <si>
    <t>rm-tong1-60-300</t>
  </si>
  <si>
    <t>Тонгкат Али экстракт Эврикомы 100к1 от Restoremind 60 шт по 300мг</t>
  </si>
  <si>
    <t>OZN2439003425</t>
  </si>
  <si>
    <t>rm-mblue-60-10</t>
  </si>
  <si>
    <t>Метиленовый синий от Restoremind, 60 шт по 10мг USP класса</t>
  </si>
  <si>
    <t>OZN2462457694</t>
  </si>
  <si>
    <t>4</t>
  </si>
  <si>
    <t>https://wildberries.ru/catalog/534862816/detail.aspx</t>
  </si>
  <si>
    <t>rm-fado-60-500</t>
  </si>
  <si>
    <t>Фадогия экстракт 100к1 60 шт по 500мг</t>
  </si>
  <si>
    <t>OZN2695175420</t>
  </si>
  <si>
    <t>rm-bor-60-30</t>
  </si>
  <si>
    <t>Бор Глицинат от Restoremind, 60 шт по 30мг, хелатный бор</t>
  </si>
  <si>
    <t>OZN3114601132</t>
  </si>
  <si>
    <t>rm-mblue-60-1</t>
  </si>
  <si>
    <t>Метиленовый синий, 60 шт по 1 мг USP класса</t>
  </si>
  <si>
    <t>OZN3203823149</t>
  </si>
  <si>
    <t>Умеренный</t>
  </si>
  <si>
    <t>rm-uroa-60-400</t>
  </si>
  <si>
    <t>Уролитин А, 60 шт по 400мг</t>
  </si>
  <si>
    <t>OZN3264843536</t>
  </si>
  <si>
    <t>rm-longe-60</t>
  </si>
  <si>
    <t>Longevity AI от RestoreMind, 60 шт, спермидин, NMN, птеростильбен и PQQ в составе</t>
  </si>
  <si>
    <t>OZN3365822340</t>
  </si>
  <si>
    <t>rm-sperw2-60-200</t>
  </si>
  <si>
    <t>Спермидин - экстракт зародышей пшеницы 200мг</t>
  </si>
  <si>
    <t>OZN3417910233</t>
  </si>
  <si>
    <t>rm-astx-60-10</t>
  </si>
  <si>
    <t>Астаксантин 10мг от Restoremind</t>
  </si>
  <si>
    <t>OZN3424445844</t>
  </si>
  <si>
    <t>rm-ecdis-60-300</t>
  </si>
  <si>
    <t>Бета-Экдистерон 300 мг 95%</t>
  </si>
  <si>
    <t>OZN3446776795</t>
  </si>
  <si>
    <t>rm-turke-60-200</t>
  </si>
  <si>
    <t>Туркестерон Экстракт по 200мг, экстракт 40% стандартизация</t>
  </si>
  <si>
    <t>OZN3446813299</t>
  </si>
  <si>
    <t>rm-j147-60-5</t>
  </si>
  <si>
    <t>Суперкуркумин (J147) 5мг</t>
  </si>
  <si>
    <t>OZN3488313345</t>
  </si>
  <si>
    <t>rm-nacc-60-500</t>
  </si>
  <si>
    <t>N-ацетилцистеин 500 мг от Restoremind, 60 шт</t>
  </si>
  <si>
    <t>OZN3537409273</t>
  </si>
  <si>
    <t>3</t>
  </si>
  <si>
    <t>rm-citi-60-250</t>
  </si>
  <si>
    <t>Цитиколин (Citicoline) 250мг, 60 шт</t>
  </si>
  <si>
    <t>OZN3540145514</t>
  </si>
  <si>
    <t>rm-sperw-60-500</t>
  </si>
  <si>
    <t>Спермидин - экстракт зародышей пшеницы 500мг</t>
  </si>
  <si>
    <t>OZN3550558518</t>
  </si>
  <si>
    <t>14</t>
  </si>
  <si>
    <t>rm-naca-60-500</t>
  </si>
  <si>
    <t>OZN3553435313</t>
  </si>
  <si>
    <t>23</t>
  </si>
</sst>
</file>

<file path=xl/styles.xml><?xml version="1.0" encoding="utf-8"?>
<styleSheet xmlns="http://schemas.openxmlformats.org/spreadsheetml/2006/main">
  <fonts count="11">
    <font>
      <sz val="12"/>
      <name val="Verdana"/>
      <family val="0"/>
      <charset val="0"/>
    </font>
    <font>
      <sz val="20"/>
      <name val="Calibri"/>
      <family val="0"/>
      <charset val="0"/>
      <color rgb="000000"/>
    </font>
    <font>
      <sz val="1"/>
      <name val="Calibri"/>
      <family val="0"/>
      <charset val="0"/>
      <color rgb="FFFFFF"/>
    </font>
    <font>
      <sz val="16"/>
      <name val="Calibri"/>
      <family val="0"/>
      <charset val="0"/>
      <color rgb="000000"/>
      <b/>
    </font>
    <font>
      <sz val="14"/>
      <name val="Calibri"/>
      <family val="0"/>
      <charset val="0"/>
      <color rgb="000000"/>
    </font>
    <font>
      <sz val="20"/>
      <name val="Calibri"/>
      <family val="0"/>
      <charset val="0"/>
      <color rgb="000000"/>
      <b/>
    </font>
    <font>
      <sz val="12"/>
      <name val="Arial"/>
      <family val="0"/>
      <charset val="0"/>
      <color rgb="48525A"/>
      <b/>
    </font>
    <font>
      <sz val="12"/>
      <name val="Arial"/>
      <family val="0"/>
      <charset val="0"/>
      <color rgb="255AF6"/>
      <b/>
    </font>
    <font>
      <sz val="12"/>
      <name val="Arial"/>
      <family val="0"/>
      <charset val="0"/>
      <color rgb="48525A"/>
    </font>
    <font>
      <sz val="12"/>
      <name val="Arial"/>
      <family val="0"/>
      <charset val="0"/>
      <color rgb="255AF6"/>
    </font>
    <font>
      <sz val="10"/>
      <name val="Arial"/>
      <family val="0"/>
      <charset val="0"/>
      <color rgb="6D7A88"/>
    </font>
  </fonts>
  <fills count="7">
    <fill>
      <patternFill patternType="none"/>
    </fill>
    <fill>
      <patternFill patternType="lightGray"/>
    </fill>
    <fill>
      <patternFill patternType="solid">
        <fgColor rgb="EEEDE2"/>
        <bgColor rgb="EEEDE2"/>
      </patternFill>
    </fill>
    <fill>
      <patternFill patternType="solid">
        <fgColor rgb="D9D9D9"/>
        <bgColor rgb="D9D9D9"/>
      </patternFill>
    </fill>
    <fill>
      <patternFill patternType="solid">
        <fgColor rgb="FFFFFF"/>
        <bgColor rgb="FFFFFF"/>
      </patternFill>
    </fill>
    <fill>
      <patternFill patternType="solid">
        <fgColor rgb="F6F8FB"/>
        <bgColor rgb="F6F8FB"/>
      </patternFill>
    </fill>
    <fill>
      <patternFill patternType="solid">
        <fgColor rgb="E9F4FE"/>
        <bgColor rgb="E9F4FE"/>
      </patternFill>
    </fill>
  </fills>
  <borders count="6">
    <border>
      <left style="none"/>
      <right style="none"/>
      <top style="none"/>
      <bottom style="none"/>
    </border>
    <border>
      <left style=""/>
      <right style="thin">
        <color rgb="000000"/>
      </right>
      <top style=""/>
      <bottom style=""/>
    </border>
    <border>
      <left style=""/>
      <right style=""/>
      <top style=""/>
      <bottom style=""/>
    </border>
    <border>
      <left style=""/>
      <right style="thin">
        <color rgb="000000"/>
      </right>
      <top style=""/>
      <bottom style="thin">
        <color rgb="000000"/>
      </bottom>
    </border>
    <border>
      <left style="thin">
        <color rgb="C0C7CD"/>
      </left>
      <right style="thin">
        <color rgb="C0C7CD"/>
      </right>
      <top style="thin">
        <color rgb="C0C7CD"/>
      </top>
      <bottom style="thin">
        <color rgb="C0C7CD"/>
      </bottom>
    </border>
    <border>
      <left style=""/>
      <right style=""/>
      <top style=""/>
      <bottom style="thin">
        <color rgb="C0C7CD"/>
      </bottom>
    </border>
  </borders>
  <cellXfs count="1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general" indent="0" shrinkToFit="0" textRotation="0" vertical="center" wrapText="1"/>
    </xf>
    <xf applyAlignment="1" applyBorder="0" applyFont="1" applyFill="0" applyNumberFormat="0" applyProtection="0" borderId="2" fillId="0" fontId="2" numFmtID="0">
      <alignment horizontal="general" indent="0" shrinkToFit="0" textRotation="0" vertical="center" wrapText="1"/>
    </xf>
    <xf applyAlignment="1" applyBorder="1" applyFont="1" applyFill="1" applyNumberFormat="0" applyProtection="0" borderId="1" fillId="3" fontId="3" numFmtID="0">
      <alignment horizontal="general" indent="0" shrinkToFit="0" textRotation="0" vertical="center" wrapText="1"/>
    </xf>
    <xf applyAlignment="1" applyBorder="1" applyFont="1" applyFill="1" applyNumberFormat="0" applyProtection="0" borderId="1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3" fontId="5" numFmtID="0">
      <alignment horizontal="general" indent="0" shrinkToFit="0" textRotation="0" vertical="center" wrapText="1"/>
    </xf>
    <xf applyAlignment="1" applyBorder="1" applyFont="1" applyFill="1" applyNumberFormat="0" applyProtection="0" borderId="4" fillId="5" fontId="6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7" numFmtID="0">
      <alignment horizontal="left" indent="1" shrinkToFit="0" textRotation="0" vertical="top" wrapText="1"/>
    </xf>
    <xf applyAlignment="1" applyBorder="1" applyFont="1" applyFill="1" applyNumberFormat="0" applyProtection="0" borderId="4" fillId="5" fontId="8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9" numFmtID="0">
      <alignment horizontal="left" indent="1" shrinkToFit="0" textRotation="0" vertical="top" wrapText="1"/>
    </xf>
    <xf applyAlignment="1" applyBorder="1" applyFont="1" applyFill="0" applyNumberFormat="0" applyProtection="0" borderId="4" fillId="0" fontId="10" numFmtID="0">
      <alignment horizontal="left" indent="1" shrinkToFit="0" textRotation="0" vertical="top" wrapText="1"/>
    </xf>
    <xf applyAlignment="1" applyBorder="1" applyFont="1" applyFill="0" applyNumberFormat="0" applyProtection="0" borderId="5" fillId="0" fontId="8" numFmtID="0">
      <alignment horizontal="left" indent="1" shrinkToFit="0" textRotation="0" vertical="top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2" customWidth="true"/>
    <col collapsed="false" hidden="false" max="2" min="2" style="1" width="12" customWidth="true"/>
    <col collapsed="false" hidden="false" max="3" min="3" style="1" width="12" customWidth="true"/>
    <col collapsed="false" hidden="false" max="4" min="4" style="1" width="12" customWidth="true"/>
    <col collapsed="false" hidden="false" max="5" min="5" style="1" width="12" customWidth="true"/>
    <col collapsed="false" hidden="false" max="6" min="6" style="1" width="12" customWidth="true"/>
    <col collapsed="false" hidden="false" max="7" min="7" style="1" width="12" customWidth="true"/>
    <col collapsed="false" hidden="false" max="8" min="8" style="1" width="9.5"/>
  </cols>
  <sheetData>
    <row r="1" ht="29" customHeight="true">
      <c r="A1" s="2" t="s">
        <v>0</v>
      </c>
      <c r="B1" s="2" t="s"/>
      <c r="C1" s="2" t="s"/>
      <c r="D1" s="2" t="s"/>
      <c r="E1" s="2" t="s"/>
      <c r="F1" s="2" t="s"/>
      <c r="G1" s="2" t="s"/>
      <c r="H1" s="3" t="s">
        <v>1</v>
      </c>
    </row>
    <row r="2" ht="25" customHeight="true">
      <c r="A2" s="4" t="s">
        <v>2</v>
      </c>
      <c r="B2" s="4" t="s"/>
      <c r="C2" s="4" t="s"/>
      <c r="D2" s="4" t="s"/>
      <c r="E2" s="4" t="s"/>
      <c r="F2" s="4" t="s"/>
      <c r="G2" s="4" t="s"/>
    </row>
    <row r="3" ht="67" customHeight="true">
      <c r="A3" s="5" t="s">
        <v>3</v>
      </c>
      <c r="B3" s="5" t="s"/>
      <c r="C3" s="5" t="s"/>
      <c r="D3" s="5" t="s"/>
      <c r="E3" s="5" t="s"/>
      <c r="F3" s="5" t="s"/>
      <c r="G3" s="5" t="s"/>
    </row>
    <row r="4" ht="25" customHeight="true">
      <c r="A4" s="4" t="s">
        <v>4</v>
      </c>
      <c r="B4" s="4" t="s"/>
      <c r="C4" s="4" t="s"/>
      <c r="D4" s="4" t="s"/>
      <c r="E4" s="4" t="s"/>
      <c r="F4" s="4" t="s"/>
      <c r="G4" s="4" t="s"/>
    </row>
    <row r="5" ht="28" customHeight="true">
      <c r="A5" s="5" t="s">
        <v>5</v>
      </c>
      <c r="B5" s="5" t="s"/>
      <c r="C5" s="5" t="s"/>
      <c r="D5" s="5" t="s"/>
      <c r="E5" s="5" t="s"/>
      <c r="F5" s="5" t="s"/>
      <c r="G5" s="5" t="s"/>
    </row>
    <row r="6" ht="25" customHeight="true">
      <c r="A6" s="4" t="s">
        <v>6</v>
      </c>
      <c r="B6" s="4" t="s"/>
      <c r="C6" s="4" t="s"/>
      <c r="D6" s="4" t="s"/>
      <c r="E6" s="4" t="s"/>
      <c r="F6" s="4" t="s"/>
      <c r="G6" s="4" t="s"/>
    </row>
    <row r="7" ht="290" customHeight="true">
      <c r="A7" s="6" t="s">
        <v>7</v>
      </c>
      <c r="B7" s="6" t="s"/>
      <c r="C7" s="6" t="s"/>
      <c r="D7" s="6" t="s"/>
      <c r="E7" s="6" t="s"/>
      <c r="F7" s="6" t="s"/>
      <c r="G7" s="6" t="s"/>
    </row>
    <row r="8" ht="25" customHeight="true">
      <c r="A8" s="7" t="s">
        <v>8</v>
      </c>
      <c r="B8" s="7" t="s"/>
      <c r="C8" s="7" t="s"/>
      <c r="D8" s="7" t="s"/>
      <c r="E8" s="7" t="s"/>
      <c r="F8" s="7" t="s">
        <v>9</v>
      </c>
      <c r="G8" s="7" t="s"/>
    </row>
    <row r="9" ht="25" customHeight="true">
      <c r="A9" s="7" t="s">
        <v>10</v>
      </c>
      <c r="B9" s="7" t="s"/>
      <c r="C9" s="7" t="s"/>
      <c r="D9" s="7" t="s"/>
      <c r="E9" s="7" t="s"/>
      <c r="F9" s="7" t="s">
        <v>11</v>
      </c>
      <c r="G9" s="7" t="s"/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E8"/>
    <mergeCell ref="F8:G8"/>
    <mergeCell ref="A9:E9"/>
    <mergeCell ref="F9: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BI7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top" state="frozen"/>
      <selection pane="topLeft" activeCell="A1" activeCellId="0" sqref="A1"/>
    </sheetView>
  </sheetViews>
  <sheetFormatPr defaultRowHeight="12.85"/>
  <cols>
    <col collapsed="false" hidden="false" max="1" min="1" style="1" width="20" customWidth="true"/>
    <col collapsed="false" hidden="false" max="2" min="2" style="1" width="20" customWidth="true"/>
    <col collapsed="false" hidden="false" max="3" min="3" style="1" width="20" customWidth="true"/>
    <col collapsed="false" hidden="false" max="4" min="4" style="1" width="20" customWidth="true"/>
    <col collapsed="false" hidden="false" max="5" min="5" style="1" width="20" customWidth="true"/>
    <col collapsed="false" hidden="false" max="6" min="6" style="1" width="20" customWidth="true"/>
    <col collapsed="false" hidden="false" max="7" min="7" style="1" width="20" customWidth="true"/>
    <col collapsed="false" hidden="false" max="8" min="8" style="1" width="20" customWidth="true"/>
    <col collapsed="false" hidden="false" max="9" min="9" style="1" width="20" customWidth="true"/>
    <col collapsed="false" hidden="false" max="10" min="10" style="1" width="20" customWidth="true"/>
    <col collapsed="false" hidden="false" max="11" min="11" style="1" width="20" customWidth="true"/>
    <col collapsed="false" hidden="false" max="12" min="12" style="1" width="20" customWidth="true"/>
    <col collapsed="false" hidden="false" max="13" min="13" style="1" width="20" customWidth="true"/>
    <col collapsed="false" hidden="false" max="14" min="14" style="1" width="20" customWidth="true"/>
    <col collapsed="false" hidden="false" max="15" min="15" style="1" width="20" customWidth="true"/>
    <col collapsed="false" hidden="false" max="16" min="16" style="1" width="20" customWidth="true"/>
    <col collapsed="false" hidden="false" max="17" min="17" style="1" width="20" customWidth="true"/>
    <col collapsed="false" hidden="false" max="18" min="18" style="1" width="20" customWidth="true"/>
    <col collapsed="false" hidden="false" max="19" min="19" style="1" width="20" customWidth="true"/>
    <col collapsed="false" hidden="false" max="20" min="20" style="1" width="20" customWidth="true"/>
    <col collapsed="false" hidden="false" max="21" min="21" style="1" width="20" customWidth="true"/>
    <col collapsed="false" hidden="false" max="22" min="22" style="1" width="20" customWidth="true"/>
    <col collapsed="false" hidden="false" max="23" min="23" style="1" width="20" customWidth="true"/>
    <col collapsed="false" hidden="false" max="24" min="24" style="1" width="20" customWidth="true"/>
    <col collapsed="false" hidden="false" max="25" min="25" style="1" width="20" customWidth="true"/>
    <col collapsed="false" hidden="false" max="26" min="26" style="1" width="32" customWidth="true"/>
    <col collapsed="false" hidden="false" max="27" min="27" style="1" width="20" customWidth="true"/>
    <col collapsed="false" hidden="false" max="28" min="28" style="1" width="20" customWidth="true"/>
    <col collapsed="false" hidden="false" max="29" min="29" style="1" width="20" customWidth="true"/>
    <col collapsed="false" hidden="false" max="30" min="30" style="1" width="32" customWidth="true"/>
    <col collapsed="false" hidden="false" max="31" min="31" style="1" width="32" customWidth="true"/>
    <col collapsed="false" hidden="false" max="32" min="32" style="1" width="20" customWidth="true"/>
    <col collapsed="false" hidden="false" max="33" min="33" style="1" width="20" customWidth="true"/>
    <col collapsed="false" hidden="false" max="34" min="34" style="1" width="20" customWidth="true"/>
    <col collapsed="false" hidden="false" max="35" min="35" style="1" width="32" customWidth="true"/>
    <col collapsed="false" hidden="false" max="36" min="36" style="1" width="32" customWidth="true"/>
    <col collapsed="false" hidden="false" max="37" min="37" style="1" width="20" customWidth="true"/>
    <col collapsed="false" hidden="false" max="38" min="38" style="1" width="20" customWidth="true"/>
    <col collapsed="false" hidden="false" max="39" min="39" style="1" width="20" customWidth="true"/>
    <col collapsed="false" hidden="false" max="40" min="40" style="1" width="20" customWidth="true"/>
    <col collapsed="false" hidden="false" max="41" min="41" style="1" width="20" customWidth="true"/>
    <col collapsed="false" hidden="false" max="42" min="42" style="1" width="20" customWidth="true"/>
    <col collapsed="false" hidden="false" max="43" min="43" style="1" width="20" customWidth="true"/>
    <col collapsed="false" hidden="false" max="44" min="44" style="1" width="20" customWidth="true"/>
    <col collapsed="false" hidden="false" max="45" min="45" style="1" width="20" customWidth="true"/>
    <col collapsed="false" hidden="false" max="46" min="46" style="1" width="20" customWidth="true"/>
    <col collapsed="false" hidden="false" max="47" min="47" style="1" width="20" customWidth="true"/>
    <col collapsed="false" hidden="false" max="48" min="48" style="1" width="20" customWidth="true"/>
    <col collapsed="false" hidden="false" max="49" min="49" style="1" width="20" customWidth="true"/>
    <col collapsed="false" hidden="false" max="50" min="50" style="1" width="20" customWidth="true"/>
    <col collapsed="false" hidden="false" max="51" min="51" style="1" width="20" customWidth="true"/>
    <col collapsed="false" hidden="false" max="52" min="52" style="1" width="32" customWidth="true"/>
    <col collapsed="false" hidden="false" max="53" min="53" style="1" width="32" customWidth="true"/>
    <col collapsed="false" hidden="false" max="54" min="54" style="1" width="32" customWidth="true"/>
    <col collapsed="false" hidden="false" max="55" min="55" style="1" width="32" customWidth="true"/>
    <col collapsed="false" hidden="false" max="56" min="56" style="1" width="32" customWidth="true"/>
    <col collapsed="false" hidden="false" max="57" min="57" style="1" width="32" customWidth="true"/>
    <col collapsed="false" hidden="false" max="58" min="58" style="1" width="32" customWidth="true"/>
    <col collapsed="false" hidden="false" max="59" min="59" style="1" width="32" customWidth="true"/>
    <col collapsed="false" hidden="false" max="60" min="60" style="1" width="32" customWidth="true"/>
    <col collapsed="false" hidden="false" max="61" min="61" style="1" width="32" customWidth="true"/>
  </cols>
  <sheetData>
    <row r="1" ht="20" customHeight="true">
      <c r="A1" s="8" t="s">
        <v>12</v>
      </c>
      <c r="B1" s="8" t="s"/>
      <c r="C1" s="8" t="s"/>
      <c r="D1" s="8" t="s"/>
      <c r="E1" s="8" t="s"/>
      <c r="F1" s="8" t="s"/>
      <c r="G1" s="8" t="s"/>
      <c r="H1" s="8" t="s"/>
      <c r="I1" s="8" t="s"/>
      <c r="J1" s="8" t="s"/>
      <c r="K1" s="8" t="s">
        <v>13</v>
      </c>
      <c r="L1" s="8" t="s"/>
      <c r="M1" s="8" t="s"/>
      <c r="N1" s="8" t="s"/>
      <c r="O1" s="8" t="s">
        <v>14</v>
      </c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  <c r="AB1" s="8" t="s"/>
      <c r="AC1" s="8" t="s"/>
      <c r="AD1" s="8" t="s"/>
      <c r="AE1" s="8" t="s"/>
      <c r="AF1" s="8" t="s">
        <v>15</v>
      </c>
      <c r="AG1" s="8" t="s"/>
      <c r="AH1" s="8" t="s"/>
      <c r="AI1" s="8" t="s"/>
      <c r="AJ1" s="8" t="s"/>
      <c r="AK1" s="8" t="s">
        <v>16</v>
      </c>
      <c r="AL1" s="8" t="s"/>
      <c r="AM1" s="8" t="s"/>
      <c r="AN1" s="8" t="s"/>
      <c r="AO1" s="8" t="s">
        <v>17</v>
      </c>
      <c r="AP1" s="8" t="s"/>
      <c r="AQ1" s="8" t="s"/>
      <c r="AR1" s="8" t="s"/>
      <c r="AS1" s="8" t="s"/>
      <c r="AT1" s="8" t="s"/>
      <c r="AU1" s="8" t="s"/>
      <c r="AV1" s="8" t="s"/>
      <c r="AW1" s="8" t="s"/>
      <c r="AX1" s="8" t="s"/>
      <c r="AY1" s="8" t="s"/>
      <c r="AZ1" s="8" t="s">
        <v>18</v>
      </c>
      <c r="BA1" s="8" t="s"/>
      <c r="BB1" s="8" t="s"/>
      <c r="BC1" s="8" t="s"/>
      <c r="BD1" s="8" t="s"/>
      <c r="BE1" s="8" t="s"/>
      <c r="BF1" s="8" t="s"/>
      <c r="BG1" s="8" t="s">
        <v>19</v>
      </c>
      <c r="BH1" s="8" t="s"/>
      <c r="BI1" s="8" t="s"/>
    </row>
    <row r="2" ht="45.846167" customHeight="true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  <c r="V2" s="8" t="s">
        <v>41</v>
      </c>
      <c r="W2" s="8" t="s">
        <v>42</v>
      </c>
      <c r="X2" s="8" t="s">
        <v>43</v>
      </c>
      <c r="Y2" s="8" t="s">
        <v>44</v>
      </c>
      <c r="Z2" s="8" t="s">
        <v>45</v>
      </c>
      <c r="AA2" s="8" t="s">
        <v>46</v>
      </c>
      <c r="AB2" s="8" t="s">
        <v>47</v>
      </c>
      <c r="AC2" s="8" t="s">
        <v>48</v>
      </c>
      <c r="AD2" s="8" t="s">
        <v>49</v>
      </c>
      <c r="AE2" s="8" t="s">
        <v>50</v>
      </c>
      <c r="AF2" s="8" t="s">
        <v>51</v>
      </c>
      <c r="AG2" s="8" t="s">
        <v>52</v>
      </c>
      <c r="AH2" s="8" t="s">
        <v>53</v>
      </c>
      <c r="AI2" s="8" t="s">
        <v>54</v>
      </c>
      <c r="AJ2" s="8" t="s">
        <v>55</v>
      </c>
      <c r="AK2" s="8" t="s">
        <v>56</v>
      </c>
      <c r="AL2" s="8" t="s">
        <v>57</v>
      </c>
      <c r="AM2" s="8" t="s">
        <v>58</v>
      </c>
      <c r="AN2" s="8" t="s">
        <v>59</v>
      </c>
      <c r="AO2" s="8" t="s">
        <v>60</v>
      </c>
      <c r="AP2" s="8" t="s">
        <v>61</v>
      </c>
      <c r="AQ2" s="8" t="s">
        <v>62</v>
      </c>
      <c r="AR2" s="8" t="s">
        <v>63</v>
      </c>
      <c r="AS2" s="8" t="s">
        <v>64</v>
      </c>
      <c r="AT2" s="8" t="s">
        <v>65</v>
      </c>
      <c r="AU2" s="8" t="s">
        <v>66</v>
      </c>
      <c r="AV2" s="8" t="s">
        <v>67</v>
      </c>
      <c r="AW2" s="8" t="s">
        <v>68</v>
      </c>
      <c r="AX2" s="8" t="s">
        <v>69</v>
      </c>
      <c r="AY2" s="8" t="s">
        <v>70</v>
      </c>
      <c r="AZ2" s="9" t="s">
        <v>71</v>
      </c>
      <c r="BA2" s="9" t="s">
        <v>72</v>
      </c>
      <c r="BB2" s="8" t="s">
        <v>36</v>
      </c>
      <c r="BC2" s="9" t="s">
        <v>73</v>
      </c>
      <c r="BD2" s="9" t="s">
        <v>74</v>
      </c>
      <c r="BE2" s="9" t="s">
        <v>75</v>
      </c>
      <c r="BF2" s="9" t="s">
        <v>76</v>
      </c>
      <c r="BG2" s="9" t="s">
        <v>77</v>
      </c>
      <c r="BH2" s="9" t="s">
        <v>78</v>
      </c>
      <c r="BI2" s="9" t="s">
        <v>79</v>
      </c>
    </row>
    <row r="3" ht="20" customHeight="true">
      <c r="A3" s="10" t="s">
        <v>80</v>
      </c>
      <c r="B3" s="10" t="s">
        <v>80</v>
      </c>
      <c r="C3" s="10" t="s">
        <v>80</v>
      </c>
      <c r="D3" s="10" t="s">
        <v>80</v>
      </c>
      <c r="E3" s="10" t="s">
        <v>80</v>
      </c>
      <c r="F3" s="10" t="s">
        <v>80</v>
      </c>
      <c r="G3" s="10" t="s">
        <v>80</v>
      </c>
      <c r="H3" s="10" t="s">
        <v>80</v>
      </c>
      <c r="I3" s="10" t="s">
        <v>80</v>
      </c>
      <c r="J3" s="10" t="s">
        <v>80</v>
      </c>
      <c r="K3" s="10" t="s">
        <v>80</v>
      </c>
      <c r="L3" s="10" t="s">
        <v>80</v>
      </c>
      <c r="M3" s="10" t="s">
        <v>80</v>
      </c>
      <c r="N3" s="10" t="s">
        <v>80</v>
      </c>
      <c r="O3" s="10" t="s">
        <v>80</v>
      </c>
      <c r="P3" s="10" t="s">
        <v>80</v>
      </c>
      <c r="Q3" s="10" t="s">
        <v>80</v>
      </c>
      <c r="R3" s="10" t="s">
        <v>80</v>
      </c>
      <c r="S3" s="10" t="s">
        <v>80</v>
      </c>
      <c r="T3" s="10" t="s">
        <v>80</v>
      </c>
      <c r="U3" s="10" t="s">
        <v>80</v>
      </c>
      <c r="V3" s="10" t="s">
        <v>80</v>
      </c>
      <c r="W3" s="10" t="s">
        <v>80</v>
      </c>
      <c r="X3" s="10" t="s">
        <v>80</v>
      </c>
      <c r="Y3" s="10" t="s">
        <v>80</v>
      </c>
      <c r="Z3" s="10" t="s">
        <v>80</v>
      </c>
      <c r="AA3" s="10" t="s">
        <v>80</v>
      </c>
      <c r="AB3" s="10" t="s">
        <v>80</v>
      </c>
      <c r="AC3" s="10" t="s">
        <v>80</v>
      </c>
      <c r="AD3" s="10" t="s">
        <v>80</v>
      </c>
      <c r="AE3" s="10" t="s">
        <v>80</v>
      </c>
      <c r="AF3" s="10" t="s">
        <v>80</v>
      </c>
      <c r="AG3" s="10" t="s">
        <v>80</v>
      </c>
      <c r="AH3" s="10" t="s">
        <v>80</v>
      </c>
      <c r="AI3" s="10" t="s">
        <v>80</v>
      </c>
      <c r="AJ3" s="10" t="s">
        <v>80</v>
      </c>
      <c r="AK3" s="10" t="s">
        <v>80</v>
      </c>
      <c r="AL3" s="10" t="s">
        <v>80</v>
      </c>
      <c r="AM3" s="10" t="s">
        <v>80</v>
      </c>
      <c r="AN3" s="10" t="s">
        <v>80</v>
      </c>
      <c r="AO3" s="10" t="s">
        <v>80</v>
      </c>
      <c r="AP3" s="10" t="s">
        <v>80</v>
      </c>
      <c r="AQ3" s="10" t="s">
        <v>80</v>
      </c>
      <c r="AR3" s="10" t="s">
        <v>80</v>
      </c>
      <c r="AS3" s="10" t="s">
        <v>80</v>
      </c>
      <c r="AT3" s="10" t="s">
        <v>80</v>
      </c>
      <c r="AU3" s="10" t="s">
        <v>80</v>
      </c>
      <c r="AV3" s="10" t="s">
        <v>80</v>
      </c>
      <c r="AW3" s="10" t="s">
        <v>80</v>
      </c>
      <c r="AX3" s="10" t="s">
        <v>80</v>
      </c>
      <c r="AY3" s="10" t="s">
        <v>80</v>
      </c>
      <c r="AZ3" s="11" t="s">
        <v>81</v>
      </c>
      <c r="BA3" s="11" t="s">
        <v>81</v>
      </c>
      <c r="BB3" s="10" t="s">
        <v>80</v>
      </c>
      <c r="BC3" s="11" t="s">
        <v>81</v>
      </c>
      <c r="BD3" s="11" t="s">
        <v>81</v>
      </c>
      <c r="BE3" s="11" t="s">
        <v>81</v>
      </c>
      <c r="BF3" s="11" t="s">
        <v>81</v>
      </c>
      <c r="BG3" s="11" t="s">
        <v>81</v>
      </c>
      <c r="BH3" s="11" t="s">
        <v>81</v>
      </c>
      <c r="BI3" s="11" t="s">
        <v>81</v>
      </c>
    </row>
    <row r="4" ht="34" customHeight="true">
      <c r="A4" s="12" t="s"/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>
        <v>82</v>
      </c>
      <c r="L4" s="12" t="s">
        <v>83</v>
      </c>
      <c r="M4" s="12" t="s">
        <v>84</v>
      </c>
      <c r="N4" s="12" t="s">
        <v>85</v>
      </c>
      <c r="O4" s="12" t="s">
        <v>86</v>
      </c>
      <c r="P4" s="12" t="s">
        <v>87</v>
      </c>
      <c r="Q4" s="12" t="s">
        <v>88</v>
      </c>
      <c r="R4" s="12" t="s"/>
      <c r="S4" s="12" t="s">
        <v>89</v>
      </c>
      <c r="T4" s="12" t="s">
        <v>90</v>
      </c>
      <c r="U4" s="12" t="s"/>
      <c r="V4" s="12" t="s"/>
      <c r="W4" s="12" t="s">
        <v>91</v>
      </c>
      <c r="X4" s="12" t="s">
        <v>92</v>
      </c>
      <c r="Y4" s="12" t="s">
        <v>93</v>
      </c>
      <c r="Z4" s="12" t="s">
        <v>94</v>
      </c>
      <c r="AA4" s="12" t="s">
        <v>95</v>
      </c>
      <c r="AB4" s="12" t="s">
        <v>96</v>
      </c>
      <c r="AC4" s="12" t="s">
        <v>97</v>
      </c>
      <c r="AD4" s="12" t="s">
        <v>98</v>
      </c>
      <c r="AE4" s="12" t="s">
        <v>99</v>
      </c>
      <c r="AF4" s="12" t="s">
        <v>100</v>
      </c>
      <c r="AG4" s="12" t="s">
        <v>101</v>
      </c>
      <c r="AH4" s="12" t="s">
        <v>102</v>
      </c>
      <c r="AI4" s="12" t="s">
        <v>103</v>
      </c>
      <c r="AJ4" s="12" t="s">
        <v>103</v>
      </c>
      <c r="AK4" s="12" t="s">
        <v>104</v>
      </c>
      <c r="AL4" s="12" t="s">
        <v>105</v>
      </c>
      <c r="AM4" s="12" t="s">
        <v>106</v>
      </c>
      <c r="AN4" s="12" t="s">
        <v>107</v>
      </c>
      <c r="AO4" s="12" t="s">
        <v>108</v>
      </c>
      <c r="AP4" s="12" t="s">
        <v>109</v>
      </c>
      <c r="AQ4" s="12" t="s">
        <v>110</v>
      </c>
      <c r="AR4" s="12" t="s">
        <v>111</v>
      </c>
      <c r="AS4" s="12" t="s">
        <v>112</v>
      </c>
      <c r="AT4" s="12" t="s">
        <v>109</v>
      </c>
      <c r="AU4" s="12" t="s">
        <v>113</v>
      </c>
      <c r="AV4" s="12" t="s">
        <v>114</v>
      </c>
      <c r="AW4" s="12" t="s">
        <v>110</v>
      </c>
      <c r="AX4" s="12" t="s">
        <v>111</v>
      </c>
      <c r="AY4" s="12" t="s">
        <v>112</v>
      </c>
      <c r="AZ4" s="12" t="s">
        <v>115</v>
      </c>
      <c r="BA4" s="12" t="s">
        <v>116</v>
      </c>
      <c r="BB4" s="12" t="s">
        <v>117</v>
      </c>
      <c r="BC4" s="12" t="s"/>
      <c r="BD4" s="12" t="s">
        <v>118</v>
      </c>
      <c r="BE4" s="12" t="s">
        <v>119</v>
      </c>
      <c r="BF4" s="12" t="s">
        <v>120</v>
      </c>
      <c r="BG4" s="12" t="s">
        <v>121</v>
      </c>
      <c r="BH4" s="12" t="s">
        <v>122</v>
      </c>
      <c r="BI4" s="12" t="s">
        <v>123</v>
      </c>
    </row>
    <row r="5" ht="20" customHeight="true">
      <c r="A5" s="13" t="s">
        <v>124</v>
      </c>
      <c r="B5" s="13">
        <v>1215255823</v>
      </c>
      <c r="C5" s="13" t="s">
        <v>125</v>
      </c>
      <c r="D5" s="13" t="s">
        <v>126</v>
      </c>
      <c r="E5" s="13" t="s">
        <v>127</v>
      </c>
      <c r="F5" s="13">
        <v>0</v>
      </c>
      <c r="G5" s="13">
        <v>0</v>
      </c>
      <c r="H5" s="13">
        <v>0.468</v>
      </c>
      <c r="I5" s="13">
        <v>0.1</v>
      </c>
      <c r="J5" s="13" t="s">
        <v>128</v>
      </c>
      <c r="K5" s="13">
        <v>0</v>
      </c>
      <c r="L5" s="13">
        <v>113</v>
      </c>
      <c r="M5" s="13">
        <v>0</v>
      </c>
      <c r="N5" s="13">
        <v>0</v>
      </c>
      <c r="O5" s="13">
        <v>7190</v>
      </c>
      <c r="P5" s="13">
        <v>4910</v>
      </c>
      <c r="Q5" s="13">
        <v>32</v>
      </c>
      <c r="R5" s="13">
        <v>2280</v>
      </c>
      <c r="S5" s="13">
        <v>4910</v>
      </c>
      <c r="T5" s="13">
        <v>48</v>
      </c>
      <c r="U5" s="13">
        <v>3410</v>
      </c>
      <c r="V5" s="13" t="s">
        <v>129</v>
      </c>
      <c r="W5" s="13">
        <v>3890</v>
      </c>
      <c r="X5" s="13" t="s">
        <v>130</v>
      </c>
      <c r="Y5" s="13" t="s">
        <v>131</v>
      </c>
      <c r="Z5" s="13" t="s"/>
      <c r="AA5" s="13" t="s"/>
      <c r="AB5" s="13" t="s"/>
      <c r="AC5" s="13" t="s"/>
      <c r="AD5" s="13" t="s">
        <v>130</v>
      </c>
      <c r="AE5" s="13" t="s">
        <v>130</v>
      </c>
      <c r="AF5" s="13">
        <v>0</v>
      </c>
      <c r="AG5" s="13">
        <v>0</v>
      </c>
      <c r="AH5" s="13">
        <v>0</v>
      </c>
      <c r="AI5" s="13" t="s"/>
      <c r="AJ5" s="13" t="s"/>
      <c r="AK5" s="13" t="s"/>
      <c r="AL5" s="13">
        <v>0</v>
      </c>
      <c r="AM5" s="13">
        <v>0</v>
      </c>
      <c r="AN5" s="13">
        <v>0</v>
      </c>
      <c r="AO5" s="13">
        <v>49.1</v>
      </c>
      <c r="AP5" s="13">
        <v>34</v>
      </c>
      <c r="AQ5" s="13">
        <v>46.77</v>
      </c>
      <c r="AR5" s="13">
        <v>280.59</v>
      </c>
      <c r="AS5" s="13">
        <v>25</v>
      </c>
      <c r="AT5" s="13">
        <v>43</v>
      </c>
      <c r="AU5" s="13">
        <v>10</v>
      </c>
      <c r="AV5" s="13">
        <v>30</v>
      </c>
      <c r="AW5" s="13">
        <v>81.34</v>
      </c>
      <c r="AX5" s="13">
        <v>81.34</v>
      </c>
      <c r="AY5" s="13">
        <v>25</v>
      </c>
      <c r="AZ5" s="13" t="s"/>
      <c r="BA5" s="13" t="s"/>
      <c r="BB5" s="1">
        <f>=IF(IF(BA5&lt;&gt;"",IF(AZ5&lt;&gt;"",CEILING(((AZ5-BA5)/AZ5)*100,1),IF(AND(O5&lt;&gt;"",O5&gt;0),CEILING((((O5-BA5)/O5)*100),1),"")),"")&gt;=0,IF(BA5&lt;&gt;"",IF(AZ5&lt;&gt;"",CEILING(((AZ5-BA5)/AZ5)*100,1),IF(AND(O5&lt;&gt;"",O5&gt;0),CEILING((((O5-BA5)/O5)*100),1),"")),""), "Ошибка: цена до скидки должна быть больше текущей.")</f>
      </c>
      <c r="BC5" s="13" t="s"/>
      <c r="BD5" s="13" t="s"/>
      <c r="BE5" s="13" t="s"/>
      <c r="BF5" s="13" t="s"/>
      <c r="BG5" s="13" t="s"/>
      <c r="BH5" s="13" t="s"/>
      <c r="BI5" s="13" t="s"/>
    </row>
    <row r="6" ht="20" customHeight="true">
      <c r="A6" s="13" t="s">
        <v>132</v>
      </c>
      <c r="B6" s="13">
        <v>1217169821</v>
      </c>
      <c r="C6" s="13" t="s">
        <v>133</v>
      </c>
      <c r="D6" s="13" t="s">
        <v>134</v>
      </c>
      <c r="E6" s="13" t="s">
        <v>127</v>
      </c>
      <c r="F6" s="13">
        <v>0</v>
      </c>
      <c r="G6" s="13">
        <v>165</v>
      </c>
      <c r="H6" s="13">
        <v>0.536251</v>
      </c>
      <c r="I6" s="13">
        <v>0.1</v>
      </c>
      <c r="J6" s="13" t="s">
        <v>135</v>
      </c>
      <c r="K6" s="13">
        <v>59632</v>
      </c>
      <c r="L6" s="13">
        <v>20158</v>
      </c>
      <c r="M6" s="13">
        <v>0.1</v>
      </c>
      <c r="N6" s="13">
        <v>21</v>
      </c>
      <c r="O6" s="13">
        <v>6990</v>
      </c>
      <c r="P6" s="13">
        <v>3100</v>
      </c>
      <c r="Q6" s="13">
        <v>56</v>
      </c>
      <c r="R6" s="13">
        <v>3890</v>
      </c>
      <c r="S6" s="13">
        <v>3100</v>
      </c>
      <c r="T6" s="13">
        <v>69</v>
      </c>
      <c r="U6" s="13">
        <v>4806</v>
      </c>
      <c r="V6" s="13" t="s">
        <v>129</v>
      </c>
      <c r="W6" s="13">
        <v>2900</v>
      </c>
      <c r="X6" s="13" t="s">
        <v>130</v>
      </c>
      <c r="Y6" s="13" t="s">
        <v>131</v>
      </c>
      <c r="Z6" s="13" t="s"/>
      <c r="AA6" s="13" t="s"/>
      <c r="AB6" s="13" t="s"/>
      <c r="AC6" s="13" t="s"/>
      <c r="AD6" s="13" t="s">
        <v>130</v>
      </c>
      <c r="AE6" s="13" t="s">
        <v>130</v>
      </c>
      <c r="AF6" s="13">
        <v>0</v>
      </c>
      <c r="AG6" s="13">
        <v>1007</v>
      </c>
      <c r="AH6" s="13">
        <v>1007</v>
      </c>
      <c r="AI6" s="13" t="s">
        <v>136</v>
      </c>
      <c r="AJ6" s="13" t="s">
        <v>136</v>
      </c>
      <c r="AK6" s="13" t="s">
        <v>137</v>
      </c>
      <c r="AL6" s="13">
        <v>0</v>
      </c>
      <c r="AM6" s="13">
        <v>1.49</v>
      </c>
      <c r="AN6" s="13">
        <v>1.49</v>
      </c>
      <c r="AO6" s="13">
        <v>31</v>
      </c>
      <c r="AP6" s="13">
        <v>34</v>
      </c>
      <c r="AQ6" s="13">
        <v>46.77</v>
      </c>
      <c r="AR6" s="13">
        <v>208.19</v>
      </c>
      <c r="AS6" s="13">
        <v>25</v>
      </c>
      <c r="AT6" s="13">
        <v>43</v>
      </c>
      <c r="AU6" s="13">
        <v>10</v>
      </c>
      <c r="AV6" s="13">
        <v>30</v>
      </c>
      <c r="AW6" s="13">
        <v>81.34</v>
      </c>
      <c r="AX6" s="13">
        <v>81.34</v>
      </c>
      <c r="AY6" s="13">
        <v>25</v>
      </c>
      <c r="AZ6" s="13" t="s"/>
      <c r="BA6" s="13" t="s"/>
      <c r="BB6" s="1">
        <f>=IF(IF(BA6&lt;&gt;"",IF(AZ6&lt;&gt;"",CEILING(((AZ6-BA6)/AZ6)*100,1),IF(AND(O6&lt;&gt;"",O6&gt;0),CEILING((((O6-BA6)/O6)*100),1),"")),"")&gt;=0,IF(BA6&lt;&gt;"",IF(AZ6&lt;&gt;"",CEILING(((AZ6-BA6)/AZ6)*100,1),IF(AND(O6&lt;&gt;"",O6&gt;0),CEILING((((O6-BA6)/O6)*100),1),"")),""), "Ошибка: цена до скидки должна быть больше текущей.")</f>
      </c>
      <c r="BC6" s="13" t="s"/>
      <c r="BD6" s="13" t="s"/>
      <c r="BE6" s="13" t="s"/>
      <c r="BF6" s="13" t="s"/>
      <c r="BG6" s="13" t="s"/>
      <c r="BH6" s="13" t="s"/>
      <c r="BI6" s="13" t="s"/>
    </row>
    <row r="7" ht="20" customHeight="true">
      <c r="A7" s="13" t="s">
        <v>138</v>
      </c>
      <c r="B7" s="13">
        <v>1226064127</v>
      </c>
      <c r="C7" s="13" t="s">
        <v>139</v>
      </c>
      <c r="D7" s="13" t="s">
        <v>134</v>
      </c>
      <c r="E7" s="13" t="s">
        <v>127</v>
      </c>
      <c r="F7" s="13">
        <v>14</v>
      </c>
      <c r="G7" s="13">
        <v>0</v>
      </c>
      <c r="H7" s="13">
        <v>0.84</v>
      </c>
      <c r="I7" s="13">
        <v>0.2</v>
      </c>
      <c r="J7" s="13" t="s">
        <v>140</v>
      </c>
      <c r="K7" s="13">
        <v>5622</v>
      </c>
      <c r="L7" s="13">
        <v>3702</v>
      </c>
      <c r="M7" s="13">
        <v>0.11</v>
      </c>
      <c r="N7" s="13">
        <v>4</v>
      </c>
      <c r="O7" s="13">
        <v>3999</v>
      </c>
      <c r="P7" s="13">
        <v>1700</v>
      </c>
      <c r="Q7" s="13">
        <v>58</v>
      </c>
      <c r="R7" s="13">
        <v>2299</v>
      </c>
      <c r="S7" s="13">
        <v>1700</v>
      </c>
      <c r="T7" s="13">
        <v>64</v>
      </c>
      <c r="U7" s="13">
        <v>2548</v>
      </c>
      <c r="V7" s="13" t="s">
        <v>129</v>
      </c>
      <c r="W7" s="13">
        <v>1400</v>
      </c>
      <c r="X7" s="13" t="s">
        <v>130</v>
      </c>
      <c r="Y7" s="13" t="s">
        <v>131</v>
      </c>
      <c r="Z7" s="13" t="s"/>
      <c r="AA7" s="13" t="s"/>
      <c r="AB7" s="13" t="s"/>
      <c r="AC7" s="13" t="s"/>
      <c r="AD7" s="13" t="s">
        <v>130</v>
      </c>
      <c r="AE7" s="13" t="s">
        <v>130</v>
      </c>
      <c r="AF7" s="13">
        <v>0</v>
      </c>
      <c r="AG7" s="13">
        <v>0</v>
      </c>
      <c r="AH7" s="13">
        <v>0</v>
      </c>
      <c r="AI7" s="13" t="s"/>
      <c r="AJ7" s="13" t="s"/>
      <c r="AK7" s="13" t="s"/>
      <c r="AL7" s="13">
        <v>0</v>
      </c>
      <c r="AM7" s="13">
        <v>0</v>
      </c>
      <c r="AN7" s="13">
        <v>0</v>
      </c>
      <c r="AO7" s="13">
        <v>17</v>
      </c>
      <c r="AP7" s="13">
        <v>34</v>
      </c>
      <c r="AQ7" s="13">
        <v>46.77</v>
      </c>
      <c r="AR7" s="13">
        <v>152.19</v>
      </c>
      <c r="AS7" s="13">
        <v>25</v>
      </c>
      <c r="AT7" s="13">
        <v>43</v>
      </c>
      <c r="AU7" s="13">
        <v>10</v>
      </c>
      <c r="AV7" s="13">
        <v>30</v>
      </c>
      <c r="AW7" s="13">
        <v>81.34</v>
      </c>
      <c r="AX7" s="13">
        <v>81.34</v>
      </c>
      <c r="AY7" s="13">
        <v>25</v>
      </c>
      <c r="AZ7" s="13" t="s"/>
      <c r="BA7" s="13" t="s"/>
      <c r="BB7" s="1">
        <f>=IF(IF(BA7&lt;&gt;"",IF(AZ7&lt;&gt;"",CEILING(((AZ7-BA7)/AZ7)*100,1),IF(AND(O7&lt;&gt;"",O7&gt;0),CEILING((((O7-BA7)/O7)*100),1),"")),"")&gt;=0,IF(BA7&lt;&gt;"",IF(AZ7&lt;&gt;"",CEILING(((AZ7-BA7)/AZ7)*100,1),IF(AND(O7&lt;&gt;"",O7&gt;0),CEILING((((O7-BA7)/O7)*100),1),"")),""), "Ошибка: цена до скидки должна быть больше текущей.")</f>
      </c>
      <c r="BC7" s="13" t="s"/>
      <c r="BD7" s="13" t="s"/>
      <c r="BE7" s="13" t="s"/>
      <c r="BF7" s="13" t="s"/>
      <c r="BG7" s="13" t="s"/>
      <c r="BH7" s="13" t="s"/>
      <c r="BI7" s="13" t="s"/>
    </row>
    <row r="8" ht="20" customHeight="true">
      <c r="A8" s="13" t="s">
        <v>141</v>
      </c>
      <c r="B8" s="13">
        <v>1226883619</v>
      </c>
      <c r="C8" s="13" t="s">
        <v>142</v>
      </c>
      <c r="D8" s="13" t="s">
        <v>143</v>
      </c>
      <c r="E8" s="13" t="s">
        <v>144</v>
      </c>
      <c r="F8" s="13">
        <v>121</v>
      </c>
      <c r="G8" s="13">
        <v>0</v>
      </c>
      <c r="H8" s="13">
        <v>0.2</v>
      </c>
      <c r="I8" s="13">
        <v>0.1</v>
      </c>
      <c r="J8" s="13" t="s">
        <v>145</v>
      </c>
      <c r="K8" s="13">
        <v>0</v>
      </c>
      <c r="L8" s="13">
        <v>4</v>
      </c>
      <c r="M8" s="13">
        <v>0</v>
      </c>
      <c r="N8" s="13">
        <v>0</v>
      </c>
      <c r="O8" s="13">
        <v>2990</v>
      </c>
      <c r="P8" s="13">
        <v>2100</v>
      </c>
      <c r="Q8" s="13">
        <v>30</v>
      </c>
      <c r="R8" s="13">
        <v>890</v>
      </c>
      <c r="S8" s="13">
        <v>2100</v>
      </c>
      <c r="T8" s="13">
        <v>44</v>
      </c>
      <c r="U8" s="13">
        <v>1315</v>
      </c>
      <c r="V8" s="13" t="s">
        <v>129</v>
      </c>
      <c r="W8" s="13">
        <v>1890</v>
      </c>
      <c r="X8" s="13" t="s">
        <v>130</v>
      </c>
      <c r="Y8" s="13" t="s">
        <v>131</v>
      </c>
      <c r="Z8" s="13" t="s"/>
      <c r="AA8" s="13" t="s"/>
      <c r="AB8" s="13" t="s"/>
      <c r="AC8" s="13" t="s"/>
      <c r="AD8" s="13" t="s">
        <v>130</v>
      </c>
      <c r="AE8" s="13" t="s">
        <v>130</v>
      </c>
      <c r="AF8" s="13">
        <v>0</v>
      </c>
      <c r="AG8" s="13">
        <v>0</v>
      </c>
      <c r="AH8" s="13">
        <v>0</v>
      </c>
      <c r="AI8" s="13" t="s"/>
      <c r="AJ8" s="13" t="s"/>
      <c r="AK8" s="13" t="s"/>
      <c r="AL8" s="13">
        <v>0</v>
      </c>
      <c r="AM8" s="13">
        <v>0</v>
      </c>
      <c r="AN8" s="13">
        <v>0</v>
      </c>
      <c r="AO8" s="13">
        <v>21</v>
      </c>
      <c r="AP8" s="13">
        <v>34</v>
      </c>
      <c r="AQ8" s="13">
        <v>46.77</v>
      </c>
      <c r="AR8" s="13">
        <v>168.19</v>
      </c>
      <c r="AS8" s="13">
        <v>25</v>
      </c>
      <c r="AT8" s="13">
        <v>43</v>
      </c>
      <c r="AU8" s="13">
        <v>10</v>
      </c>
      <c r="AV8" s="13">
        <v>30</v>
      </c>
      <c r="AW8" s="13">
        <v>81.34</v>
      </c>
      <c r="AX8" s="13">
        <v>81.34</v>
      </c>
      <c r="AY8" s="13">
        <v>25</v>
      </c>
      <c r="AZ8" s="13" t="s"/>
      <c r="BA8" s="13" t="s"/>
      <c r="BB8" s="1">
        <f>=IF(IF(BA8&lt;&gt;"",IF(AZ8&lt;&gt;"",CEILING(((AZ8-BA8)/AZ8)*100,1),IF(AND(O8&lt;&gt;"",O8&gt;0),CEILING((((O8-BA8)/O8)*100),1),"")),"")&gt;=0,IF(BA8&lt;&gt;"",IF(AZ8&lt;&gt;"",CEILING(((AZ8-BA8)/AZ8)*100,1),IF(AND(O8&lt;&gt;"",O8&gt;0),CEILING((((O8-BA8)/O8)*100),1),"")),""), "Ошибка: цена до скидки должна быть больше текущей.")</f>
      </c>
      <c r="BC8" s="13" t="s"/>
      <c r="BD8" s="13" t="s"/>
      <c r="BE8" s="13" t="s"/>
      <c r="BF8" s="13" t="s"/>
      <c r="BG8" s="13" t="s"/>
      <c r="BH8" s="13" t="s"/>
      <c r="BI8" s="13" t="s"/>
    </row>
    <row r="9" ht="20" customHeight="true">
      <c r="A9" s="13" t="s">
        <v>146</v>
      </c>
      <c r="B9" s="13">
        <v>1239616711</v>
      </c>
      <c r="C9" s="13" t="s">
        <v>147</v>
      </c>
      <c r="D9" s="13" t="s">
        <v>134</v>
      </c>
      <c r="E9" s="13" t="s">
        <v>127</v>
      </c>
      <c r="F9" s="13">
        <v>0</v>
      </c>
      <c r="G9" s="13">
        <v>187</v>
      </c>
      <c r="H9" s="13">
        <v>0.2</v>
      </c>
      <c r="I9" s="13">
        <v>0.1</v>
      </c>
      <c r="J9" s="13" t="s">
        <v>148</v>
      </c>
      <c r="K9" s="13">
        <v>9103</v>
      </c>
      <c r="L9" s="13">
        <v>3008</v>
      </c>
      <c r="M9" s="13">
        <v>0.17</v>
      </c>
      <c r="N9" s="13">
        <v>5</v>
      </c>
      <c r="O9" s="13">
        <v>4990</v>
      </c>
      <c r="P9" s="13">
        <v>3200</v>
      </c>
      <c r="Q9" s="13">
        <v>36</v>
      </c>
      <c r="R9" s="13">
        <v>1790</v>
      </c>
      <c r="S9" s="13">
        <v>2300</v>
      </c>
      <c r="T9" s="13">
        <v>66</v>
      </c>
      <c r="U9" s="13">
        <v>3256</v>
      </c>
      <c r="V9" s="13" t="s">
        <v>129</v>
      </c>
      <c r="W9" s="13">
        <v>2890</v>
      </c>
      <c r="X9" s="13" t="s">
        <v>130</v>
      </c>
      <c r="Y9" s="13" t="s">
        <v>131</v>
      </c>
      <c r="Z9" s="13" t="s"/>
      <c r="AA9" s="13" t="s"/>
      <c r="AB9" s="13" t="s"/>
      <c r="AC9" s="13" t="s"/>
      <c r="AD9" s="13" t="s">
        <v>130</v>
      </c>
      <c r="AE9" s="13" t="s">
        <v>130</v>
      </c>
      <c r="AF9" s="13">
        <v>0</v>
      </c>
      <c r="AG9" s="13">
        <v>0</v>
      </c>
      <c r="AH9" s="13">
        <v>0</v>
      </c>
      <c r="AI9" s="13" t="s"/>
      <c r="AJ9" s="13" t="s"/>
      <c r="AK9" s="13" t="s"/>
      <c r="AL9" s="13">
        <v>0</v>
      </c>
      <c r="AM9" s="13">
        <v>0</v>
      </c>
      <c r="AN9" s="13">
        <v>0</v>
      </c>
      <c r="AO9" s="13">
        <v>23</v>
      </c>
      <c r="AP9" s="13">
        <v>34</v>
      </c>
      <c r="AQ9" s="13">
        <v>46.77</v>
      </c>
      <c r="AR9" s="13">
        <v>176.19</v>
      </c>
      <c r="AS9" s="13">
        <v>25</v>
      </c>
      <c r="AT9" s="13">
        <v>43</v>
      </c>
      <c r="AU9" s="13">
        <v>10</v>
      </c>
      <c r="AV9" s="13">
        <v>30</v>
      </c>
      <c r="AW9" s="13">
        <v>81.34</v>
      </c>
      <c r="AX9" s="13">
        <v>81.34</v>
      </c>
      <c r="AY9" s="13">
        <v>25</v>
      </c>
      <c r="AZ9" s="13" t="s"/>
      <c r="BA9" s="13" t="s"/>
      <c r="BB9" s="1">
        <f>=IF(IF(BA9&lt;&gt;"",IF(AZ9&lt;&gt;"",CEILING(((AZ9-BA9)/AZ9)*100,1),IF(AND(O9&lt;&gt;"",O9&gt;0),CEILING((((O9-BA9)/O9)*100),1),"")),"")&gt;=0,IF(BA9&lt;&gt;"",IF(AZ9&lt;&gt;"",CEILING(((AZ9-BA9)/AZ9)*100,1),IF(AND(O9&lt;&gt;"",O9&gt;0),CEILING((((O9-BA9)/O9)*100),1),"")),""), "Ошибка: цена до скидки должна быть больше текущей.")</f>
      </c>
      <c r="BC9" s="13" t="s"/>
      <c r="BD9" s="13" t="s"/>
      <c r="BE9" s="13" t="s"/>
      <c r="BF9" s="13" t="s"/>
      <c r="BG9" s="13" t="s"/>
      <c r="BH9" s="13" t="s"/>
      <c r="BI9" s="13" t="s"/>
    </row>
    <row r="10" ht="20" customHeight="true">
      <c r="A10" s="13" t="s">
        <v>149</v>
      </c>
      <c r="B10" s="13">
        <v>1268504294</v>
      </c>
      <c r="C10" s="13" t="s">
        <v>150</v>
      </c>
      <c r="D10" s="13" t="s">
        <v>126</v>
      </c>
      <c r="E10" s="13" t="s">
        <v>127</v>
      </c>
      <c r="F10" s="13">
        <v>0</v>
      </c>
      <c r="G10" s="13">
        <v>0</v>
      </c>
      <c r="H10" s="13">
        <v>0.2</v>
      </c>
      <c r="I10" s="13">
        <v>0.1</v>
      </c>
      <c r="J10" s="13" t="s">
        <v>151</v>
      </c>
      <c r="K10" s="13">
        <v>0</v>
      </c>
      <c r="L10" s="13">
        <v>1</v>
      </c>
      <c r="M10" s="13">
        <v>0</v>
      </c>
      <c r="N10" s="13">
        <v>0</v>
      </c>
      <c r="O10" s="13">
        <v>4990</v>
      </c>
      <c r="P10" s="13">
        <v>3490</v>
      </c>
      <c r="Q10" s="13">
        <v>31</v>
      </c>
      <c r="R10" s="13">
        <v>1500</v>
      </c>
      <c r="S10" s="13">
        <v>3490</v>
      </c>
      <c r="T10" s="13">
        <v>31</v>
      </c>
      <c r="U10" s="13">
        <v>1500</v>
      </c>
      <c r="V10" s="13" t="s">
        <v>129</v>
      </c>
      <c r="W10" s="13">
        <v>2990</v>
      </c>
      <c r="X10" s="13" t="s">
        <v>130</v>
      </c>
      <c r="Y10" s="13" t="s">
        <v>131</v>
      </c>
      <c r="Z10" s="13" t="s"/>
      <c r="AA10" s="13" t="s"/>
      <c r="AB10" s="13" t="s"/>
      <c r="AC10" s="13" t="s"/>
      <c r="AD10" s="13" t="s">
        <v>130</v>
      </c>
      <c r="AE10" s="13" t="s">
        <v>130</v>
      </c>
      <c r="AF10" s="13">
        <v>0</v>
      </c>
      <c r="AG10" s="13">
        <v>0</v>
      </c>
      <c r="AH10" s="13">
        <v>0</v>
      </c>
      <c r="AI10" s="13" t="s"/>
      <c r="AJ10" s="13" t="s"/>
      <c r="AK10" s="13" t="s"/>
      <c r="AL10" s="13">
        <v>0</v>
      </c>
      <c r="AM10" s="13">
        <v>0</v>
      </c>
      <c r="AN10" s="13">
        <v>0</v>
      </c>
      <c r="AO10" s="13">
        <v>34.9</v>
      </c>
      <c r="AP10" s="13">
        <v>32</v>
      </c>
      <c r="AQ10" s="13">
        <v>46.77</v>
      </c>
      <c r="AR10" s="13">
        <v>223.79</v>
      </c>
      <c r="AS10" s="13">
        <v>25</v>
      </c>
      <c r="AT10" s="13">
        <v>41</v>
      </c>
      <c r="AU10" s="13">
        <v>10</v>
      </c>
      <c r="AV10" s="13">
        <v>30</v>
      </c>
      <c r="AW10" s="13">
        <v>81.34</v>
      </c>
      <c r="AX10" s="13">
        <v>81.34</v>
      </c>
      <c r="AY10" s="13">
        <v>25</v>
      </c>
      <c r="AZ10" s="13" t="s"/>
      <c r="BA10" s="13" t="s"/>
      <c r="BB10" s="1">
        <f>=IF(IF(BA10&lt;&gt;"",IF(AZ10&lt;&gt;"",CEILING(((AZ10-BA10)/AZ10)*100,1),IF(AND(O10&lt;&gt;"",O10&gt;0),CEILING((((O10-BA10)/O10)*100),1),"")),"")&gt;=0,IF(BA10&lt;&gt;"",IF(AZ10&lt;&gt;"",CEILING(((AZ10-BA10)/AZ10)*100,1),IF(AND(O10&lt;&gt;"",O10&gt;0),CEILING((((O10-BA10)/O10)*100),1),"")),""), "Ошибка: цена до скидки должна быть больше текущей.")</f>
      </c>
      <c r="BC10" s="13" t="s"/>
      <c r="BD10" s="13" t="s"/>
      <c r="BE10" s="13" t="s"/>
      <c r="BF10" s="13" t="s"/>
      <c r="BG10" s="13" t="s"/>
      <c r="BH10" s="13" t="s"/>
      <c r="BI10" s="13" t="s"/>
    </row>
    <row r="11" ht="20" customHeight="true">
      <c r="A11" s="13" t="s">
        <v>152</v>
      </c>
      <c r="B11" s="13">
        <v>1268702850</v>
      </c>
      <c r="C11" s="13" t="s">
        <v>153</v>
      </c>
      <c r="D11" s="13" t="s">
        <v>126</v>
      </c>
      <c r="E11" s="13" t="s">
        <v>127</v>
      </c>
      <c r="F11" s="13">
        <v>0</v>
      </c>
      <c r="G11" s="13">
        <v>0</v>
      </c>
      <c r="H11" s="13">
        <v>0.2</v>
      </c>
      <c r="I11" s="13">
        <v>0.1</v>
      </c>
      <c r="J11" s="13" t="s">
        <v>154</v>
      </c>
      <c r="K11" s="13">
        <v>0</v>
      </c>
      <c r="L11" s="13">
        <v>55</v>
      </c>
      <c r="M11" s="13">
        <v>0</v>
      </c>
      <c r="N11" s="13">
        <v>0</v>
      </c>
      <c r="O11" s="13">
        <v>4990</v>
      </c>
      <c r="P11" s="13">
        <v>2330</v>
      </c>
      <c r="Q11" s="13">
        <v>54</v>
      </c>
      <c r="R11" s="13">
        <v>2660</v>
      </c>
      <c r="S11" s="13">
        <v>2330</v>
      </c>
      <c r="T11" s="13">
        <v>54</v>
      </c>
      <c r="U11" s="13">
        <v>2660</v>
      </c>
      <c r="V11" s="13" t="s">
        <v>129</v>
      </c>
      <c r="W11" s="13">
        <v>1990</v>
      </c>
      <c r="X11" s="13" t="s">
        <v>130</v>
      </c>
      <c r="Y11" s="13" t="s">
        <v>131</v>
      </c>
      <c r="Z11" s="13" t="s"/>
      <c r="AA11" s="13" t="s"/>
      <c r="AB11" s="13" t="s"/>
      <c r="AC11" s="13" t="s"/>
      <c r="AD11" s="13" t="s">
        <v>130</v>
      </c>
      <c r="AE11" s="13" t="s">
        <v>130</v>
      </c>
      <c r="AF11" s="13">
        <v>0</v>
      </c>
      <c r="AG11" s="13">
        <v>0</v>
      </c>
      <c r="AH11" s="13">
        <v>0</v>
      </c>
      <c r="AI11" s="13" t="s"/>
      <c r="AJ11" s="13" t="s"/>
      <c r="AK11" s="13" t="s"/>
      <c r="AL11" s="13">
        <v>0</v>
      </c>
      <c r="AM11" s="13">
        <v>0</v>
      </c>
      <c r="AN11" s="13">
        <v>0</v>
      </c>
      <c r="AO11" s="13">
        <v>23.3</v>
      </c>
      <c r="AP11" s="13">
        <v>34</v>
      </c>
      <c r="AQ11" s="13">
        <v>46.77</v>
      </c>
      <c r="AR11" s="13">
        <v>177.39</v>
      </c>
      <c r="AS11" s="13">
        <v>25</v>
      </c>
      <c r="AT11" s="13">
        <v>43</v>
      </c>
      <c r="AU11" s="13">
        <v>10</v>
      </c>
      <c r="AV11" s="13">
        <v>30</v>
      </c>
      <c r="AW11" s="13">
        <v>81.34</v>
      </c>
      <c r="AX11" s="13">
        <v>81.34</v>
      </c>
      <c r="AY11" s="13">
        <v>25</v>
      </c>
      <c r="AZ11" s="13" t="s"/>
      <c r="BA11" s="13" t="s"/>
      <c r="BB11" s="1">
        <f>=IF(IF(BA11&lt;&gt;"",IF(AZ11&lt;&gt;"",CEILING(((AZ11-BA11)/AZ11)*100,1),IF(AND(O11&lt;&gt;"",O11&gt;0),CEILING((((O11-BA11)/O11)*100),1),"")),"")&gt;=0,IF(BA11&lt;&gt;"",IF(AZ11&lt;&gt;"",CEILING(((AZ11-BA11)/AZ11)*100,1),IF(AND(O11&lt;&gt;"",O11&gt;0),CEILING((((O11-BA11)/O11)*100),1),"")),""), "Ошибка: цена до скидки должна быть больше текущей.")</f>
      </c>
      <c r="BC11" s="13" t="s"/>
      <c r="BD11" s="13" t="s"/>
      <c r="BE11" s="13" t="s"/>
      <c r="BF11" s="13" t="s"/>
      <c r="BG11" s="13" t="s"/>
      <c r="BH11" s="13" t="s"/>
      <c r="BI11" s="13" t="s"/>
    </row>
    <row r="12" ht="20" customHeight="true">
      <c r="A12" s="13" t="s">
        <v>155</v>
      </c>
      <c r="B12" s="13">
        <v>1268674183</v>
      </c>
      <c r="C12" s="13" t="s">
        <v>156</v>
      </c>
      <c r="D12" s="13" t="s">
        <v>126</v>
      </c>
      <c r="E12" s="13" t="s">
        <v>127</v>
      </c>
      <c r="F12" s="13">
        <v>0</v>
      </c>
      <c r="G12" s="13">
        <v>0</v>
      </c>
      <c r="H12" s="13">
        <v>0.2</v>
      </c>
      <c r="I12" s="13">
        <v>0.1</v>
      </c>
      <c r="J12" s="13" t="s">
        <v>157</v>
      </c>
      <c r="K12" s="13">
        <v>0</v>
      </c>
      <c r="L12" s="13">
        <v>23</v>
      </c>
      <c r="M12" s="13">
        <v>0</v>
      </c>
      <c r="N12" s="13">
        <v>0</v>
      </c>
      <c r="O12" s="13">
        <v>5900</v>
      </c>
      <c r="P12" s="13">
        <v>2410</v>
      </c>
      <c r="Q12" s="13">
        <v>60</v>
      </c>
      <c r="R12" s="13">
        <v>3490</v>
      </c>
      <c r="S12" s="13">
        <v>2410</v>
      </c>
      <c r="T12" s="13">
        <v>60</v>
      </c>
      <c r="U12" s="13">
        <v>3490</v>
      </c>
      <c r="V12" s="13" t="s">
        <v>129</v>
      </c>
      <c r="W12" s="13">
        <v>2100</v>
      </c>
      <c r="X12" s="13" t="s">
        <v>130</v>
      </c>
      <c r="Y12" s="13" t="s">
        <v>131</v>
      </c>
      <c r="Z12" s="13" t="s"/>
      <c r="AA12" s="13" t="s"/>
      <c r="AB12" s="13" t="s"/>
      <c r="AC12" s="13" t="s"/>
      <c r="AD12" s="13" t="s">
        <v>130</v>
      </c>
      <c r="AE12" s="13" t="s">
        <v>130</v>
      </c>
      <c r="AF12" s="13">
        <v>0</v>
      </c>
      <c r="AG12" s="13">
        <v>0</v>
      </c>
      <c r="AH12" s="13">
        <v>0</v>
      </c>
      <c r="AI12" s="13" t="s"/>
      <c r="AJ12" s="13" t="s"/>
      <c r="AK12" s="13" t="s"/>
      <c r="AL12" s="13">
        <v>0</v>
      </c>
      <c r="AM12" s="13">
        <v>0</v>
      </c>
      <c r="AN12" s="13">
        <v>0</v>
      </c>
      <c r="AO12" s="13">
        <v>24.1</v>
      </c>
      <c r="AP12" s="13">
        <v>34</v>
      </c>
      <c r="AQ12" s="13">
        <v>46.77</v>
      </c>
      <c r="AR12" s="13">
        <v>180.59</v>
      </c>
      <c r="AS12" s="13">
        <v>25</v>
      </c>
      <c r="AT12" s="13">
        <v>43</v>
      </c>
      <c r="AU12" s="13">
        <v>10</v>
      </c>
      <c r="AV12" s="13">
        <v>30</v>
      </c>
      <c r="AW12" s="13">
        <v>81.34</v>
      </c>
      <c r="AX12" s="13">
        <v>81.34</v>
      </c>
      <c r="AY12" s="13">
        <v>25</v>
      </c>
      <c r="AZ12" s="13" t="s"/>
      <c r="BA12" s="13" t="s"/>
      <c r="BB12" s="1">
        <f>=IF(IF(BA12&lt;&gt;"",IF(AZ12&lt;&gt;"",CEILING(((AZ12-BA12)/AZ12)*100,1),IF(AND(O12&lt;&gt;"",O12&gt;0),CEILING((((O12-BA12)/O12)*100),1),"")),"")&gt;=0,IF(BA12&lt;&gt;"",IF(AZ12&lt;&gt;"",CEILING(((AZ12-BA12)/AZ12)*100,1),IF(AND(O12&lt;&gt;"",O12&gt;0),CEILING((((O12-BA12)/O12)*100),1),"")),""), "Ошибка: цена до скидки должна быть больше текущей.")</f>
      </c>
      <c r="BC12" s="13" t="s"/>
      <c r="BD12" s="13" t="s"/>
      <c r="BE12" s="13" t="s"/>
      <c r="BF12" s="13" t="s"/>
      <c r="BG12" s="13" t="s"/>
      <c r="BH12" s="13" t="s"/>
      <c r="BI12" s="13" t="s"/>
    </row>
    <row r="13" ht="20" customHeight="true">
      <c r="A13" s="13" t="s">
        <v>158</v>
      </c>
      <c r="B13" s="13">
        <v>1268676875</v>
      </c>
      <c r="C13" s="13" t="s">
        <v>159</v>
      </c>
      <c r="D13" s="13" t="s">
        <v>134</v>
      </c>
      <c r="E13" s="13" t="s">
        <v>127</v>
      </c>
      <c r="F13" s="13">
        <v>1</v>
      </c>
      <c r="G13" s="13">
        <v>6</v>
      </c>
      <c r="H13" s="13">
        <v>0.485109</v>
      </c>
      <c r="I13" s="13">
        <v>0.1</v>
      </c>
      <c r="J13" s="13" t="s">
        <v>160</v>
      </c>
      <c r="K13" s="13">
        <v>54475.69</v>
      </c>
      <c r="L13" s="13">
        <v>9501</v>
      </c>
      <c r="M13" s="13">
        <v>0.17</v>
      </c>
      <c r="N13" s="13">
        <v>16</v>
      </c>
      <c r="O13" s="13">
        <v>5990</v>
      </c>
      <c r="P13" s="13">
        <v>3600</v>
      </c>
      <c r="Q13" s="13">
        <v>40</v>
      </c>
      <c r="R13" s="13">
        <v>2390</v>
      </c>
      <c r="S13" s="13">
        <v>3600</v>
      </c>
      <c r="T13" s="13">
        <v>57</v>
      </c>
      <c r="U13" s="13">
        <v>3355</v>
      </c>
      <c r="V13" s="13" t="s">
        <v>129</v>
      </c>
      <c r="W13" s="13">
        <v>2790</v>
      </c>
      <c r="X13" s="13" t="s">
        <v>130</v>
      </c>
      <c r="Y13" s="13" t="s">
        <v>131</v>
      </c>
      <c r="Z13" s="13" t="s"/>
      <c r="AA13" s="13" t="s"/>
      <c r="AB13" s="13" t="s"/>
      <c r="AC13" s="13" t="s"/>
      <c r="AD13" s="13" t="s">
        <v>130</v>
      </c>
      <c r="AE13" s="13" t="s">
        <v>130</v>
      </c>
      <c r="AF13" s="13">
        <v>0</v>
      </c>
      <c r="AG13" s="13">
        <v>0</v>
      </c>
      <c r="AH13" s="13">
        <v>0</v>
      </c>
      <c r="AI13" s="13" t="s"/>
      <c r="AJ13" s="13" t="s"/>
      <c r="AK13" s="13" t="s"/>
      <c r="AL13" s="13">
        <v>0</v>
      </c>
      <c r="AM13" s="13">
        <v>0</v>
      </c>
      <c r="AN13" s="13">
        <v>0</v>
      </c>
      <c r="AO13" s="13">
        <v>36</v>
      </c>
      <c r="AP13" s="13">
        <v>34</v>
      </c>
      <c r="AQ13" s="13">
        <v>46.77</v>
      </c>
      <c r="AR13" s="13">
        <v>228.19</v>
      </c>
      <c r="AS13" s="13">
        <v>25</v>
      </c>
      <c r="AT13" s="13">
        <v>43</v>
      </c>
      <c r="AU13" s="13">
        <v>10</v>
      </c>
      <c r="AV13" s="13">
        <v>30</v>
      </c>
      <c r="AW13" s="13">
        <v>81.34</v>
      </c>
      <c r="AX13" s="13">
        <v>81.34</v>
      </c>
      <c r="AY13" s="13">
        <v>25</v>
      </c>
      <c r="AZ13" s="13" t="s"/>
      <c r="BA13" s="13" t="s"/>
      <c r="BB13" s="1">
        <f>=IF(IF(BA13&lt;&gt;"",IF(AZ13&lt;&gt;"",CEILING(((AZ13-BA13)/AZ13)*100,1),IF(AND(O13&lt;&gt;"",O13&gt;0),CEILING((((O13-BA13)/O13)*100),1),"")),"")&gt;=0,IF(BA13&lt;&gt;"",IF(AZ13&lt;&gt;"",CEILING(((AZ13-BA13)/AZ13)*100,1),IF(AND(O13&lt;&gt;"",O13&gt;0),CEILING((((O13-BA13)/O13)*100),1),"")),""), "Ошибка: цена до скидки должна быть больше текущей.")</f>
      </c>
      <c r="BC13" s="13" t="s"/>
      <c r="BD13" s="13" t="s"/>
      <c r="BE13" s="13" t="s"/>
      <c r="BF13" s="13" t="s"/>
      <c r="BG13" s="13" t="s"/>
      <c r="BH13" s="13" t="s"/>
      <c r="BI13" s="13" t="s"/>
    </row>
    <row r="14" ht="20" customHeight="true">
      <c r="A14" s="13" t="s">
        <v>161</v>
      </c>
      <c r="B14" s="13">
        <v>1275104601</v>
      </c>
      <c r="C14" s="13" t="s">
        <v>162</v>
      </c>
      <c r="D14" s="13" t="s">
        <v>134</v>
      </c>
      <c r="E14" s="13" t="s">
        <v>127</v>
      </c>
      <c r="F14" s="13">
        <v>0</v>
      </c>
      <c r="G14" s="13">
        <v>16</v>
      </c>
      <c r="H14" s="13">
        <v>0.84</v>
      </c>
      <c r="I14" s="13">
        <v>0.2</v>
      </c>
      <c r="J14" s="13" t="s">
        <v>163</v>
      </c>
      <c r="K14" s="13">
        <v>5221</v>
      </c>
      <c r="L14" s="13">
        <v>2638</v>
      </c>
      <c r="M14" s="13">
        <v>0.11</v>
      </c>
      <c r="N14" s="13">
        <v>3</v>
      </c>
      <c r="O14" s="13">
        <v>4990</v>
      </c>
      <c r="P14" s="13">
        <v>2500</v>
      </c>
      <c r="Q14" s="13">
        <v>50</v>
      </c>
      <c r="R14" s="13">
        <v>2490</v>
      </c>
      <c r="S14" s="13">
        <v>2500</v>
      </c>
      <c r="T14" s="13">
        <v>62</v>
      </c>
      <c r="U14" s="13">
        <v>3091</v>
      </c>
      <c r="V14" s="13" t="s">
        <v>129</v>
      </c>
      <c r="W14" s="13">
        <v>2090</v>
      </c>
      <c r="X14" s="13" t="s">
        <v>130</v>
      </c>
      <c r="Y14" s="13" t="s">
        <v>131</v>
      </c>
      <c r="Z14" s="13" t="s"/>
      <c r="AA14" s="13" t="s"/>
      <c r="AB14" s="13" t="s"/>
      <c r="AC14" s="13" t="s"/>
      <c r="AD14" s="13" t="s">
        <v>130</v>
      </c>
      <c r="AE14" s="13" t="s">
        <v>130</v>
      </c>
      <c r="AF14" s="13">
        <v>0</v>
      </c>
      <c r="AG14" s="13">
        <v>0</v>
      </c>
      <c r="AH14" s="13">
        <v>0</v>
      </c>
      <c r="AI14" s="13" t="s"/>
      <c r="AJ14" s="13" t="s"/>
      <c r="AK14" s="13" t="s"/>
      <c r="AL14" s="13">
        <v>0</v>
      </c>
      <c r="AM14" s="13">
        <v>0</v>
      </c>
      <c r="AN14" s="13">
        <v>0</v>
      </c>
      <c r="AO14" s="13">
        <v>25</v>
      </c>
      <c r="AP14" s="13">
        <v>34</v>
      </c>
      <c r="AQ14" s="13">
        <v>46.77</v>
      </c>
      <c r="AR14" s="13">
        <v>184.19</v>
      </c>
      <c r="AS14" s="13">
        <v>25</v>
      </c>
      <c r="AT14" s="13">
        <v>43</v>
      </c>
      <c r="AU14" s="13">
        <v>10</v>
      </c>
      <c r="AV14" s="13">
        <v>30</v>
      </c>
      <c r="AW14" s="13">
        <v>81.34</v>
      </c>
      <c r="AX14" s="13">
        <v>81.34</v>
      </c>
      <c r="AY14" s="13">
        <v>25</v>
      </c>
      <c r="AZ14" s="13" t="s"/>
      <c r="BA14" s="13" t="s"/>
      <c r="BB14" s="1">
        <f>=IF(IF(BA14&lt;&gt;"",IF(AZ14&lt;&gt;"",CEILING(((AZ14-BA14)/AZ14)*100,1),IF(AND(O14&lt;&gt;"",O14&gt;0),CEILING((((O14-BA14)/O14)*100),1),"")),"")&gt;=0,IF(BA14&lt;&gt;"",IF(AZ14&lt;&gt;"",CEILING(((AZ14-BA14)/AZ14)*100,1),IF(AND(O14&lt;&gt;"",O14&gt;0),CEILING((((O14-BA14)/O14)*100),1),"")),""), "Ошибка: цена до скидки должна быть больше текущей.")</f>
      </c>
      <c r="BC14" s="13" t="s"/>
      <c r="BD14" s="13" t="s"/>
      <c r="BE14" s="13" t="s"/>
      <c r="BF14" s="13" t="s"/>
      <c r="BG14" s="13" t="s"/>
      <c r="BH14" s="13" t="s"/>
      <c r="BI14" s="13" t="s"/>
    </row>
    <row r="15" ht="20" customHeight="true">
      <c r="A15" s="13" t="s">
        <v>164</v>
      </c>
      <c r="B15" s="13">
        <v>1275116444</v>
      </c>
      <c r="C15" s="13" t="s">
        <v>165</v>
      </c>
      <c r="D15" s="13" t="s">
        <v>126</v>
      </c>
      <c r="E15" s="13" t="s">
        <v>127</v>
      </c>
      <c r="F15" s="13">
        <v>0</v>
      </c>
      <c r="G15" s="13">
        <v>0</v>
      </c>
      <c r="H15" s="13">
        <v>0.2</v>
      </c>
      <c r="I15" s="13">
        <v>0.1</v>
      </c>
      <c r="J15" s="13" t="s">
        <v>166</v>
      </c>
      <c r="K15" s="13">
        <v>0</v>
      </c>
      <c r="L15" s="13">
        <v>51</v>
      </c>
      <c r="M15" s="13">
        <v>0</v>
      </c>
      <c r="N15" s="13">
        <v>0</v>
      </c>
      <c r="O15" s="13">
        <v>5990</v>
      </c>
      <c r="P15" s="13">
        <v>3660</v>
      </c>
      <c r="Q15" s="13">
        <v>39</v>
      </c>
      <c r="R15" s="13">
        <v>2330</v>
      </c>
      <c r="S15" s="13">
        <v>3660</v>
      </c>
      <c r="T15" s="13">
        <v>39</v>
      </c>
      <c r="U15" s="13">
        <v>2330</v>
      </c>
      <c r="V15" s="13" t="s">
        <v>129</v>
      </c>
      <c r="W15" s="13">
        <v>2990</v>
      </c>
      <c r="X15" s="13" t="s">
        <v>130</v>
      </c>
      <c r="Y15" s="13" t="s">
        <v>131</v>
      </c>
      <c r="Z15" s="13" t="s"/>
      <c r="AA15" s="13" t="s"/>
      <c r="AB15" s="13" t="s"/>
      <c r="AC15" s="13" t="s"/>
      <c r="AD15" s="13" t="s">
        <v>130</v>
      </c>
      <c r="AE15" s="13" t="s">
        <v>130</v>
      </c>
      <c r="AF15" s="13">
        <v>0</v>
      </c>
      <c r="AG15" s="13">
        <v>0</v>
      </c>
      <c r="AH15" s="13">
        <v>0</v>
      </c>
      <c r="AI15" s="13" t="s"/>
      <c r="AJ15" s="13" t="s"/>
      <c r="AK15" s="13" t="s"/>
      <c r="AL15" s="13">
        <v>0</v>
      </c>
      <c r="AM15" s="13">
        <v>0</v>
      </c>
      <c r="AN15" s="13">
        <v>0</v>
      </c>
      <c r="AO15" s="13">
        <v>36.6</v>
      </c>
      <c r="AP15" s="13">
        <v>34</v>
      </c>
      <c r="AQ15" s="13">
        <v>46.77</v>
      </c>
      <c r="AR15" s="13">
        <v>230.59</v>
      </c>
      <c r="AS15" s="13">
        <v>25</v>
      </c>
      <c r="AT15" s="13">
        <v>43</v>
      </c>
      <c r="AU15" s="13">
        <v>10</v>
      </c>
      <c r="AV15" s="13">
        <v>30</v>
      </c>
      <c r="AW15" s="13">
        <v>81.34</v>
      </c>
      <c r="AX15" s="13">
        <v>81.34</v>
      </c>
      <c r="AY15" s="13">
        <v>25</v>
      </c>
      <c r="AZ15" s="13" t="s"/>
      <c r="BA15" s="13" t="s"/>
      <c r="BB15" s="1">
        <f>=IF(IF(BA15&lt;&gt;"",IF(AZ15&lt;&gt;"",CEILING(((AZ15-BA15)/AZ15)*100,1),IF(AND(O15&lt;&gt;"",O15&gt;0),CEILING((((O15-BA15)/O15)*100),1),"")),"")&gt;=0,IF(BA15&lt;&gt;"",IF(AZ15&lt;&gt;"",CEILING(((AZ15-BA15)/AZ15)*100,1),IF(AND(O15&lt;&gt;"",O15&gt;0),CEILING((((O15-BA15)/O15)*100),1),"")),""), "Ошибка: цена до скидки должна быть больше текущей.")</f>
      </c>
      <c r="BC15" s="13" t="s"/>
      <c r="BD15" s="13" t="s"/>
      <c r="BE15" s="13" t="s"/>
      <c r="BF15" s="13" t="s"/>
      <c r="BG15" s="13" t="s"/>
      <c r="BH15" s="13" t="s"/>
      <c r="BI15" s="13" t="s"/>
    </row>
    <row r="16" ht="20" customHeight="true">
      <c r="A16" s="13" t="s">
        <v>167</v>
      </c>
      <c r="B16" s="13">
        <v>1275116488</v>
      </c>
      <c r="C16" s="13" t="s">
        <v>168</v>
      </c>
      <c r="D16" s="13" t="s">
        <v>134</v>
      </c>
      <c r="E16" s="13" t="s">
        <v>127</v>
      </c>
      <c r="F16" s="13">
        <v>8</v>
      </c>
      <c r="G16" s="13">
        <v>7</v>
      </c>
      <c r="H16" s="13">
        <v>0.41808</v>
      </c>
      <c r="I16" s="13">
        <v>0.1</v>
      </c>
      <c r="J16" s="13" t="s">
        <v>169</v>
      </c>
      <c r="K16" s="13">
        <v>7276</v>
      </c>
      <c r="L16" s="13">
        <v>6613</v>
      </c>
      <c r="M16" s="13">
        <v>0.05</v>
      </c>
      <c r="N16" s="13">
        <v>3</v>
      </c>
      <c r="O16" s="13">
        <v>4990</v>
      </c>
      <c r="P16" s="13">
        <v>2800</v>
      </c>
      <c r="Q16" s="13">
        <v>44</v>
      </c>
      <c r="R16" s="13">
        <v>2190</v>
      </c>
      <c r="S16" s="13">
        <v>2800</v>
      </c>
      <c r="T16" s="13">
        <v>58</v>
      </c>
      <c r="U16" s="13">
        <v>2860</v>
      </c>
      <c r="V16" s="13" t="s">
        <v>129</v>
      </c>
      <c r="W16" s="13">
        <v>2440</v>
      </c>
      <c r="X16" s="13" t="s">
        <v>130</v>
      </c>
      <c r="Y16" s="13" t="s">
        <v>131</v>
      </c>
      <c r="Z16" s="13" t="s"/>
      <c r="AA16" s="13" t="s"/>
      <c r="AB16" s="13" t="s"/>
      <c r="AC16" s="13" t="s"/>
      <c r="AD16" s="13" t="s">
        <v>130</v>
      </c>
      <c r="AE16" s="13" t="s">
        <v>130</v>
      </c>
      <c r="AF16" s="13">
        <v>0</v>
      </c>
      <c r="AG16" s="13">
        <v>0</v>
      </c>
      <c r="AH16" s="13">
        <v>0</v>
      </c>
      <c r="AI16" s="13" t="s"/>
      <c r="AJ16" s="13" t="s"/>
      <c r="AK16" s="13" t="s"/>
      <c r="AL16" s="13">
        <v>0</v>
      </c>
      <c r="AM16" s="13">
        <v>0</v>
      </c>
      <c r="AN16" s="13">
        <v>0</v>
      </c>
      <c r="AO16" s="13">
        <v>28</v>
      </c>
      <c r="AP16" s="13">
        <v>34</v>
      </c>
      <c r="AQ16" s="13">
        <v>46.77</v>
      </c>
      <c r="AR16" s="13">
        <v>196.19</v>
      </c>
      <c r="AS16" s="13">
        <v>25</v>
      </c>
      <c r="AT16" s="13">
        <v>43</v>
      </c>
      <c r="AU16" s="13">
        <v>10</v>
      </c>
      <c r="AV16" s="13">
        <v>30</v>
      </c>
      <c r="AW16" s="13">
        <v>81.34</v>
      </c>
      <c r="AX16" s="13">
        <v>81.34</v>
      </c>
      <c r="AY16" s="13">
        <v>25</v>
      </c>
      <c r="AZ16" s="13" t="s"/>
      <c r="BA16" s="13" t="s"/>
      <c r="BB16" s="1">
        <f>=IF(IF(BA16&lt;&gt;"",IF(AZ16&lt;&gt;"",CEILING(((AZ16-BA16)/AZ16)*100,1),IF(AND(O16&lt;&gt;"",O16&gt;0),CEILING((((O16-BA16)/O16)*100),1),"")),"")&gt;=0,IF(BA16&lt;&gt;"",IF(AZ16&lt;&gt;"",CEILING(((AZ16-BA16)/AZ16)*100,1),IF(AND(O16&lt;&gt;"",O16&gt;0),CEILING((((O16-BA16)/O16)*100),1),"")),""), "Ошибка: цена до скидки должна быть больше текущей.")</f>
      </c>
      <c r="BC16" s="13" t="s"/>
      <c r="BD16" s="13" t="s"/>
      <c r="BE16" s="13" t="s"/>
      <c r="BF16" s="13" t="s"/>
      <c r="BG16" s="13" t="s"/>
      <c r="BH16" s="13" t="s"/>
      <c r="BI16" s="13" t="s"/>
    </row>
    <row r="17" ht="20" customHeight="true">
      <c r="A17" s="13" t="s">
        <v>170</v>
      </c>
      <c r="B17" s="13">
        <v>1275993197</v>
      </c>
      <c r="C17" s="13" t="s">
        <v>171</v>
      </c>
      <c r="D17" s="13" t="s">
        <v>134</v>
      </c>
      <c r="E17" s="13" t="s">
        <v>127</v>
      </c>
      <c r="F17" s="13">
        <v>83</v>
      </c>
      <c r="G17" s="13">
        <v>142</v>
      </c>
      <c r="H17" s="13">
        <v>0.2275</v>
      </c>
      <c r="I17" s="13">
        <v>0.1</v>
      </c>
      <c r="J17" s="13" t="s">
        <v>172</v>
      </c>
      <c r="K17" s="13">
        <v>46703</v>
      </c>
      <c r="L17" s="13">
        <v>15074</v>
      </c>
      <c r="M17" s="13">
        <v>0.09</v>
      </c>
      <c r="N17" s="13">
        <v>13</v>
      </c>
      <c r="O17" s="13">
        <v>8990</v>
      </c>
      <c r="P17" s="13">
        <v>3900</v>
      </c>
      <c r="Q17" s="13">
        <v>57</v>
      </c>
      <c r="R17" s="13">
        <v>5090</v>
      </c>
      <c r="S17" s="13">
        <v>3900</v>
      </c>
      <c r="T17" s="13">
        <v>70</v>
      </c>
      <c r="U17" s="13">
        <v>6226</v>
      </c>
      <c r="V17" s="13" t="s">
        <v>129</v>
      </c>
      <c r="W17" s="13">
        <v>3890</v>
      </c>
      <c r="X17" s="13" t="s">
        <v>130</v>
      </c>
      <c r="Y17" s="13" t="s">
        <v>131</v>
      </c>
      <c r="Z17" s="13" t="s"/>
      <c r="AA17" s="13" t="s"/>
      <c r="AB17" s="13" t="s"/>
      <c r="AC17" s="13" t="s"/>
      <c r="AD17" s="13" t="s">
        <v>130</v>
      </c>
      <c r="AE17" s="13" t="s">
        <v>130</v>
      </c>
      <c r="AF17" s="13">
        <v>0</v>
      </c>
      <c r="AG17" s="13">
        <v>1007</v>
      </c>
      <c r="AH17" s="13">
        <v>1007</v>
      </c>
      <c r="AI17" s="13" t="s">
        <v>136</v>
      </c>
      <c r="AJ17" s="13" t="s">
        <v>136</v>
      </c>
      <c r="AK17" s="13" t="s">
        <v>137</v>
      </c>
      <c r="AL17" s="13">
        <v>0</v>
      </c>
      <c r="AM17" s="13">
        <v>1.6</v>
      </c>
      <c r="AN17" s="13">
        <v>1.6</v>
      </c>
      <c r="AO17" s="13">
        <v>39</v>
      </c>
      <c r="AP17" s="13">
        <v>34</v>
      </c>
      <c r="AQ17" s="13">
        <v>46.77</v>
      </c>
      <c r="AR17" s="13">
        <v>240.19</v>
      </c>
      <c r="AS17" s="13">
        <v>25</v>
      </c>
      <c r="AT17" s="13">
        <v>43</v>
      </c>
      <c r="AU17" s="13">
        <v>10</v>
      </c>
      <c r="AV17" s="13">
        <v>30</v>
      </c>
      <c r="AW17" s="13">
        <v>81.34</v>
      </c>
      <c r="AX17" s="13">
        <v>81.34</v>
      </c>
      <c r="AY17" s="13">
        <v>25</v>
      </c>
      <c r="AZ17" s="13" t="s"/>
      <c r="BA17" s="13" t="s"/>
      <c r="BB17" s="1">
        <f>=IF(IF(BA17&lt;&gt;"",IF(AZ17&lt;&gt;"",CEILING(((AZ17-BA17)/AZ17)*100,1),IF(AND(O17&lt;&gt;"",O17&gt;0),CEILING((((O17-BA17)/O17)*100),1),"")),"")&gt;=0,IF(BA17&lt;&gt;"",IF(AZ17&lt;&gt;"",CEILING(((AZ17-BA17)/AZ17)*100,1),IF(AND(O17&lt;&gt;"",O17&gt;0),CEILING((((O17-BA17)/O17)*100),1),"")),""), "Ошибка: цена до скидки должна быть больше текущей.")</f>
      </c>
      <c r="BC17" s="13" t="s"/>
      <c r="BD17" s="13" t="s"/>
      <c r="BE17" s="13" t="s"/>
      <c r="BF17" s="13" t="s"/>
      <c r="BG17" s="13" t="s"/>
      <c r="BH17" s="13" t="s"/>
      <c r="BI17" s="13" t="s"/>
    </row>
    <row r="18" ht="20" customHeight="true">
      <c r="A18" s="13" t="s">
        <v>173</v>
      </c>
      <c r="B18" s="13">
        <v>1276020826</v>
      </c>
      <c r="C18" s="13" t="s">
        <v>174</v>
      </c>
      <c r="D18" s="13" t="s">
        <v>126</v>
      </c>
      <c r="E18" s="13" t="s">
        <v>127</v>
      </c>
      <c r="F18" s="13">
        <v>0</v>
      </c>
      <c r="G18" s="13">
        <v>0</v>
      </c>
      <c r="H18" s="13">
        <v>0.576</v>
      </c>
      <c r="I18" s="13">
        <v>0.1</v>
      </c>
      <c r="J18" s="13" t="s">
        <v>175</v>
      </c>
      <c r="K18" s="13">
        <v>0</v>
      </c>
      <c r="L18" s="13">
        <v>143</v>
      </c>
      <c r="M18" s="13">
        <v>0</v>
      </c>
      <c r="N18" s="13">
        <v>0</v>
      </c>
      <c r="O18" s="13">
        <v>6990</v>
      </c>
      <c r="P18" s="13">
        <v>4990</v>
      </c>
      <c r="Q18" s="13">
        <v>29</v>
      </c>
      <c r="R18" s="13">
        <v>2000</v>
      </c>
      <c r="S18" s="13">
        <v>3175</v>
      </c>
      <c r="T18" s="13">
        <v>65</v>
      </c>
      <c r="U18" s="13">
        <v>4518</v>
      </c>
      <c r="V18" s="13" t="s">
        <v>129</v>
      </c>
      <c r="W18" s="13">
        <v>4290</v>
      </c>
      <c r="X18" s="13" t="s">
        <v>130</v>
      </c>
      <c r="Y18" s="13" t="s">
        <v>131</v>
      </c>
      <c r="Z18" s="13" t="s"/>
      <c r="AA18" s="13" t="s"/>
      <c r="AB18" s="13" t="s"/>
      <c r="AC18" s="13" t="s"/>
      <c r="AD18" s="13" t="s">
        <v>130</v>
      </c>
      <c r="AE18" s="13" t="s">
        <v>130</v>
      </c>
      <c r="AF18" s="13">
        <v>0</v>
      </c>
      <c r="AG18" s="13">
        <v>0</v>
      </c>
      <c r="AH18" s="13">
        <v>0</v>
      </c>
      <c r="AI18" s="13" t="s"/>
      <c r="AJ18" s="13" t="s"/>
      <c r="AK18" s="13" t="s"/>
      <c r="AL18" s="13">
        <v>0</v>
      </c>
      <c r="AM18" s="13">
        <v>0</v>
      </c>
      <c r="AN18" s="13">
        <v>0</v>
      </c>
      <c r="AO18" s="13">
        <v>31.75</v>
      </c>
      <c r="AP18" s="13">
        <v>32</v>
      </c>
      <c r="AQ18" s="13">
        <v>46.77</v>
      </c>
      <c r="AR18" s="13">
        <v>211.19</v>
      </c>
      <c r="AS18" s="13">
        <v>25</v>
      </c>
      <c r="AT18" s="13">
        <v>41</v>
      </c>
      <c r="AU18" s="13">
        <v>10</v>
      </c>
      <c r="AV18" s="13">
        <v>30</v>
      </c>
      <c r="AW18" s="13">
        <v>81.34</v>
      </c>
      <c r="AX18" s="13">
        <v>81.34</v>
      </c>
      <c r="AY18" s="13">
        <v>25</v>
      </c>
      <c r="AZ18" s="13" t="s"/>
      <c r="BA18" s="13" t="s"/>
      <c r="BB18" s="1">
        <f>=IF(IF(BA18&lt;&gt;"",IF(AZ18&lt;&gt;"",CEILING(((AZ18-BA18)/AZ18)*100,1),IF(AND(O18&lt;&gt;"",O18&gt;0),CEILING((((O18-BA18)/O18)*100),1),"")),"")&gt;=0,IF(BA18&lt;&gt;"",IF(AZ18&lt;&gt;"",CEILING(((AZ18-BA18)/AZ18)*100,1),IF(AND(O18&lt;&gt;"",O18&gt;0),CEILING((((O18-BA18)/O18)*100),1),"")),""), "Ошибка: цена до скидки должна быть больше текущей.")</f>
      </c>
      <c r="BC18" s="13" t="s"/>
      <c r="BD18" s="13" t="s"/>
      <c r="BE18" s="13" t="s"/>
      <c r="BF18" s="13" t="s"/>
      <c r="BG18" s="13" t="s"/>
      <c r="BH18" s="13" t="s"/>
      <c r="BI18" s="13" t="s"/>
    </row>
    <row r="19" ht="20" customHeight="true">
      <c r="A19" s="13" t="s">
        <v>176</v>
      </c>
      <c r="B19" s="13">
        <v>1283661783</v>
      </c>
      <c r="C19" s="13" t="s">
        <v>177</v>
      </c>
      <c r="D19" s="13" t="s">
        <v>126</v>
      </c>
      <c r="E19" s="13" t="s">
        <v>127</v>
      </c>
      <c r="F19" s="13">
        <v>0</v>
      </c>
      <c r="G19" s="13">
        <v>0</v>
      </c>
      <c r="H19" s="13">
        <v>0.2</v>
      </c>
      <c r="I19" s="13">
        <v>0.1</v>
      </c>
      <c r="J19" s="13" t="s">
        <v>178</v>
      </c>
      <c r="K19" s="13">
        <v>0</v>
      </c>
      <c r="L19" s="13">
        <v>9</v>
      </c>
      <c r="M19" s="13">
        <v>0</v>
      </c>
      <c r="N19" s="13">
        <v>0</v>
      </c>
      <c r="O19" s="13">
        <v>4590</v>
      </c>
      <c r="P19" s="13">
        <v>2710</v>
      </c>
      <c r="Q19" s="13">
        <v>41</v>
      </c>
      <c r="R19" s="13">
        <v>1880</v>
      </c>
      <c r="S19" s="13">
        <v>2710</v>
      </c>
      <c r="T19" s="13">
        <v>41</v>
      </c>
      <c r="U19" s="13">
        <v>1880</v>
      </c>
      <c r="V19" s="13" t="s">
        <v>129</v>
      </c>
      <c r="W19" s="13">
        <v>2660</v>
      </c>
      <c r="X19" s="13" t="s">
        <v>130</v>
      </c>
      <c r="Y19" s="13" t="s">
        <v>131</v>
      </c>
      <c r="Z19" s="13" t="s"/>
      <c r="AA19" s="13" t="s"/>
      <c r="AB19" s="13" t="s"/>
      <c r="AC19" s="13" t="s"/>
      <c r="AD19" s="13" t="s">
        <v>130</v>
      </c>
      <c r="AE19" s="13" t="s">
        <v>130</v>
      </c>
      <c r="AF19" s="13">
        <v>0</v>
      </c>
      <c r="AG19" s="13">
        <v>0</v>
      </c>
      <c r="AH19" s="13">
        <v>0</v>
      </c>
      <c r="AI19" s="13" t="s"/>
      <c r="AJ19" s="13" t="s"/>
      <c r="AK19" s="13" t="s"/>
      <c r="AL19" s="13">
        <v>0</v>
      </c>
      <c r="AM19" s="13">
        <v>0</v>
      </c>
      <c r="AN19" s="13">
        <v>0</v>
      </c>
      <c r="AO19" s="13">
        <v>27.1</v>
      </c>
      <c r="AP19" s="13">
        <v>34</v>
      </c>
      <c r="AQ19" s="13">
        <v>46.77</v>
      </c>
      <c r="AR19" s="13">
        <v>192.59</v>
      </c>
      <c r="AS19" s="13">
        <v>25</v>
      </c>
      <c r="AT19" s="13">
        <v>43</v>
      </c>
      <c r="AU19" s="13">
        <v>10</v>
      </c>
      <c r="AV19" s="13">
        <v>30</v>
      </c>
      <c r="AW19" s="13">
        <v>81.34</v>
      </c>
      <c r="AX19" s="13">
        <v>81.34</v>
      </c>
      <c r="AY19" s="13">
        <v>25</v>
      </c>
      <c r="AZ19" s="13" t="s"/>
      <c r="BA19" s="13" t="s"/>
      <c r="BB19" s="1">
        <f>=IF(IF(BA19&lt;&gt;"",IF(AZ19&lt;&gt;"",CEILING(((AZ19-BA19)/AZ19)*100,1),IF(AND(O19&lt;&gt;"",O19&gt;0),CEILING((((O19-BA19)/O19)*100),1),"")),"")&gt;=0,IF(BA19&lt;&gt;"",IF(AZ19&lt;&gt;"",CEILING(((AZ19-BA19)/AZ19)*100,1),IF(AND(O19&lt;&gt;"",O19&gt;0),CEILING((((O19-BA19)/O19)*100),1),"")),""), "Ошибка: цена до скидки должна быть больше текущей.")</f>
      </c>
      <c r="BC19" s="13" t="s"/>
      <c r="BD19" s="13" t="s"/>
      <c r="BE19" s="13" t="s"/>
      <c r="BF19" s="13" t="s"/>
      <c r="BG19" s="13" t="s"/>
      <c r="BH19" s="13" t="s"/>
      <c r="BI19" s="13" t="s"/>
    </row>
    <row r="20" ht="20" customHeight="true">
      <c r="A20" s="13" t="s">
        <v>179</v>
      </c>
      <c r="B20" s="13">
        <v>1289044743</v>
      </c>
      <c r="C20" s="13" t="s">
        <v>180</v>
      </c>
      <c r="D20" s="13" t="s">
        <v>134</v>
      </c>
      <c r="E20" s="13" t="s">
        <v>127</v>
      </c>
      <c r="F20" s="13">
        <v>34</v>
      </c>
      <c r="G20" s="13">
        <v>37</v>
      </c>
      <c r="H20" s="13">
        <v>0.539</v>
      </c>
      <c r="I20" s="13">
        <v>0.1</v>
      </c>
      <c r="J20" s="13" t="s">
        <v>181</v>
      </c>
      <c r="K20" s="13">
        <v>5827</v>
      </c>
      <c r="L20" s="13">
        <v>3938</v>
      </c>
      <c r="M20" s="13">
        <v>0.08</v>
      </c>
      <c r="N20" s="13">
        <v>3</v>
      </c>
      <c r="O20" s="13">
        <v>5990</v>
      </c>
      <c r="P20" s="13">
        <v>2200</v>
      </c>
      <c r="Q20" s="13">
        <v>64</v>
      </c>
      <c r="R20" s="13">
        <v>3790</v>
      </c>
      <c r="S20" s="13">
        <v>2200</v>
      </c>
      <c r="T20" s="13">
        <v>74</v>
      </c>
      <c r="U20" s="13">
        <v>4431</v>
      </c>
      <c r="V20" s="13" t="s">
        <v>129</v>
      </c>
      <c r="W20" s="13">
        <v>1840</v>
      </c>
      <c r="X20" s="13" t="s">
        <v>130</v>
      </c>
      <c r="Y20" s="13" t="s">
        <v>131</v>
      </c>
      <c r="Z20" s="13" t="s"/>
      <c r="AA20" s="13" t="s"/>
      <c r="AB20" s="13" t="s"/>
      <c r="AC20" s="13" t="s"/>
      <c r="AD20" s="13" t="s">
        <v>130</v>
      </c>
      <c r="AE20" s="13" t="s">
        <v>130</v>
      </c>
      <c r="AF20" s="13">
        <v>0</v>
      </c>
      <c r="AG20" s="13">
        <v>0</v>
      </c>
      <c r="AH20" s="13">
        <v>0</v>
      </c>
      <c r="AI20" s="13" t="s"/>
      <c r="AJ20" s="13" t="s"/>
      <c r="AK20" s="13" t="s"/>
      <c r="AL20" s="13">
        <v>0</v>
      </c>
      <c r="AM20" s="13">
        <v>0</v>
      </c>
      <c r="AN20" s="13">
        <v>0</v>
      </c>
      <c r="AO20" s="13">
        <v>22</v>
      </c>
      <c r="AP20" s="13">
        <v>34</v>
      </c>
      <c r="AQ20" s="13">
        <v>46.77</v>
      </c>
      <c r="AR20" s="13">
        <v>172.19</v>
      </c>
      <c r="AS20" s="13">
        <v>25</v>
      </c>
      <c r="AT20" s="13">
        <v>43</v>
      </c>
      <c r="AU20" s="13">
        <v>10</v>
      </c>
      <c r="AV20" s="13">
        <v>30</v>
      </c>
      <c r="AW20" s="13">
        <v>81.34</v>
      </c>
      <c r="AX20" s="13">
        <v>81.34</v>
      </c>
      <c r="AY20" s="13">
        <v>25</v>
      </c>
      <c r="AZ20" s="13" t="s"/>
      <c r="BA20" s="13" t="s"/>
      <c r="BB20" s="1">
        <f>=IF(IF(BA20&lt;&gt;"",IF(AZ20&lt;&gt;"",CEILING(((AZ20-BA20)/AZ20)*100,1),IF(AND(O20&lt;&gt;"",O20&gt;0),CEILING((((O20-BA20)/O20)*100),1),"")),"")&gt;=0,IF(BA20&lt;&gt;"",IF(AZ20&lt;&gt;"",CEILING(((AZ20-BA20)/AZ20)*100,1),IF(AND(O20&lt;&gt;"",O20&gt;0),CEILING((((O20-BA20)/O20)*100),1),"")),""), "Ошибка: цена до скидки должна быть больше текущей.")</f>
      </c>
      <c r="BC20" s="13" t="s"/>
      <c r="BD20" s="13" t="s"/>
      <c r="BE20" s="13" t="s"/>
      <c r="BF20" s="13" t="s"/>
      <c r="BG20" s="13" t="s"/>
      <c r="BH20" s="13" t="s"/>
      <c r="BI20" s="13" t="s"/>
    </row>
    <row r="21" ht="20" customHeight="true">
      <c r="A21" s="13" t="s">
        <v>182</v>
      </c>
      <c r="B21" s="13">
        <v>1289053797</v>
      </c>
      <c r="C21" s="13" t="s">
        <v>183</v>
      </c>
      <c r="D21" s="13" t="s">
        <v>126</v>
      </c>
      <c r="E21" s="13" t="s">
        <v>127</v>
      </c>
      <c r="F21" s="13">
        <v>0</v>
      </c>
      <c r="G21" s="13">
        <v>0</v>
      </c>
      <c r="H21" s="13">
        <v>0.84</v>
      </c>
      <c r="I21" s="13">
        <v>0.2</v>
      </c>
      <c r="J21" s="13" t="s">
        <v>184</v>
      </c>
      <c r="K21" s="13">
        <v>0</v>
      </c>
      <c r="L21" s="13">
        <v>63</v>
      </c>
      <c r="M21" s="13">
        <v>0</v>
      </c>
      <c r="N21" s="13">
        <v>0</v>
      </c>
      <c r="O21" s="13">
        <v>4490</v>
      </c>
      <c r="P21" s="13">
        <v>3890</v>
      </c>
      <c r="Q21" s="13">
        <v>14</v>
      </c>
      <c r="R21" s="13">
        <v>600</v>
      </c>
      <c r="S21" s="13">
        <v>1500</v>
      </c>
      <c r="T21" s="13">
        <v>76</v>
      </c>
      <c r="U21" s="13">
        <v>3382</v>
      </c>
      <c r="V21" s="13" t="s">
        <v>129</v>
      </c>
      <c r="W21" s="13">
        <v>3650</v>
      </c>
      <c r="X21" s="13" t="s">
        <v>130</v>
      </c>
      <c r="Y21" s="13" t="s">
        <v>131</v>
      </c>
      <c r="Z21" s="13" t="s"/>
      <c r="AA21" s="13" t="s"/>
      <c r="AB21" s="13" t="s"/>
      <c r="AC21" s="13" t="s"/>
      <c r="AD21" s="13" t="s">
        <v>130</v>
      </c>
      <c r="AE21" s="13" t="s">
        <v>130</v>
      </c>
      <c r="AF21" s="13">
        <v>0</v>
      </c>
      <c r="AG21" s="13">
        <v>0</v>
      </c>
      <c r="AH21" s="13">
        <v>0</v>
      </c>
      <c r="AI21" s="13" t="s"/>
      <c r="AJ21" s="13" t="s"/>
      <c r="AK21" s="13" t="s"/>
      <c r="AL21" s="13">
        <v>0</v>
      </c>
      <c r="AM21" s="13">
        <v>0</v>
      </c>
      <c r="AN21" s="13">
        <v>0</v>
      </c>
      <c r="AO21" s="13">
        <v>15</v>
      </c>
      <c r="AP21" s="13">
        <v>34</v>
      </c>
      <c r="AQ21" s="13">
        <v>46.77</v>
      </c>
      <c r="AR21" s="13">
        <v>144.19</v>
      </c>
      <c r="AS21" s="13">
        <v>25</v>
      </c>
      <c r="AT21" s="13">
        <v>43</v>
      </c>
      <c r="AU21" s="13">
        <v>10</v>
      </c>
      <c r="AV21" s="13">
        <v>30</v>
      </c>
      <c r="AW21" s="13">
        <v>81.34</v>
      </c>
      <c r="AX21" s="13">
        <v>81.34</v>
      </c>
      <c r="AY21" s="13">
        <v>25</v>
      </c>
      <c r="AZ21" s="13" t="s"/>
      <c r="BA21" s="13" t="s"/>
      <c r="BB21" s="1">
        <f>=IF(IF(BA21&lt;&gt;"",IF(AZ21&lt;&gt;"",CEILING(((AZ21-BA21)/AZ21)*100,1),IF(AND(O21&lt;&gt;"",O21&gt;0),CEILING((((O21-BA21)/O21)*100),1),"")),"")&gt;=0,IF(BA21&lt;&gt;"",IF(AZ21&lt;&gt;"",CEILING(((AZ21-BA21)/AZ21)*100,1),IF(AND(O21&lt;&gt;"",O21&gt;0),CEILING((((O21-BA21)/O21)*100),1),"")),""), "Ошибка: цена до скидки должна быть больше текущей.")</f>
      </c>
      <c r="BC21" s="13" t="s"/>
      <c r="BD21" s="13" t="s"/>
      <c r="BE21" s="13" t="s"/>
      <c r="BF21" s="13" t="s"/>
      <c r="BG21" s="13" t="s"/>
      <c r="BH21" s="13" t="s"/>
      <c r="BI21" s="13" t="s"/>
    </row>
    <row r="22" ht="20" customHeight="true">
      <c r="A22" s="13" t="s">
        <v>185</v>
      </c>
      <c r="B22" s="13">
        <v>1290697409</v>
      </c>
      <c r="C22" s="13" t="s">
        <v>186</v>
      </c>
      <c r="D22" s="13" t="s">
        <v>126</v>
      </c>
      <c r="E22" s="13" t="s">
        <v>127</v>
      </c>
      <c r="F22" s="13">
        <v>0</v>
      </c>
      <c r="G22" s="13">
        <v>0</v>
      </c>
      <c r="H22" s="13">
        <v>0.2</v>
      </c>
      <c r="I22" s="13">
        <v>0.1</v>
      </c>
      <c r="J22" s="13" t="s">
        <v>187</v>
      </c>
      <c r="K22" s="13">
        <v>0</v>
      </c>
      <c r="L22" s="13">
        <v>8</v>
      </c>
      <c r="M22" s="13">
        <v>0</v>
      </c>
      <c r="N22" s="13">
        <v>0</v>
      </c>
      <c r="O22" s="13">
        <v>5590</v>
      </c>
      <c r="P22" s="13">
        <v>3690</v>
      </c>
      <c r="Q22" s="13">
        <v>34</v>
      </c>
      <c r="R22" s="13">
        <v>1900</v>
      </c>
      <c r="S22" s="13">
        <v>3690</v>
      </c>
      <c r="T22" s="13">
        <v>34</v>
      </c>
      <c r="U22" s="13">
        <v>1900</v>
      </c>
      <c r="V22" s="13" t="s">
        <v>129</v>
      </c>
      <c r="W22" s="13">
        <v>3333</v>
      </c>
      <c r="X22" s="13" t="s">
        <v>130</v>
      </c>
      <c r="Y22" s="13" t="s">
        <v>131</v>
      </c>
      <c r="Z22" s="13" t="s"/>
      <c r="AA22" s="13" t="s"/>
      <c r="AB22" s="13" t="s"/>
      <c r="AC22" s="13" t="s"/>
      <c r="AD22" s="13" t="s">
        <v>130</v>
      </c>
      <c r="AE22" s="13" t="s">
        <v>130</v>
      </c>
      <c r="AF22" s="13">
        <v>0</v>
      </c>
      <c r="AG22" s="13">
        <v>0</v>
      </c>
      <c r="AH22" s="13">
        <v>0</v>
      </c>
      <c r="AI22" s="13" t="s"/>
      <c r="AJ22" s="13" t="s"/>
      <c r="AK22" s="13" t="s"/>
      <c r="AL22" s="13">
        <v>0</v>
      </c>
      <c r="AM22" s="13">
        <v>0</v>
      </c>
      <c r="AN22" s="13">
        <v>0</v>
      </c>
      <c r="AO22" s="13">
        <v>36.9</v>
      </c>
      <c r="AP22" s="13">
        <v>34</v>
      </c>
      <c r="AQ22" s="13">
        <v>46.77</v>
      </c>
      <c r="AR22" s="13">
        <v>231.79</v>
      </c>
      <c r="AS22" s="13">
        <v>25</v>
      </c>
      <c r="AT22" s="13">
        <v>43</v>
      </c>
      <c r="AU22" s="13">
        <v>10</v>
      </c>
      <c r="AV22" s="13">
        <v>30</v>
      </c>
      <c r="AW22" s="13">
        <v>81.34</v>
      </c>
      <c r="AX22" s="13">
        <v>81.34</v>
      </c>
      <c r="AY22" s="13">
        <v>25</v>
      </c>
      <c r="AZ22" s="13" t="s"/>
      <c r="BA22" s="13" t="s"/>
      <c r="BB22" s="1">
        <f>=IF(IF(BA22&lt;&gt;"",IF(AZ22&lt;&gt;"",CEILING(((AZ22-BA22)/AZ22)*100,1),IF(AND(O22&lt;&gt;"",O22&gt;0),CEILING((((O22-BA22)/O22)*100),1),"")),"")&gt;=0,IF(BA22&lt;&gt;"",IF(AZ22&lt;&gt;"",CEILING(((AZ22-BA22)/AZ22)*100,1),IF(AND(O22&lt;&gt;"",O22&gt;0),CEILING((((O22-BA22)/O22)*100),1),"")),""), "Ошибка: цена до скидки должна быть больше текущей.")</f>
      </c>
      <c r="BC22" s="13" t="s"/>
      <c r="BD22" s="13" t="s"/>
      <c r="BE22" s="13" t="s"/>
      <c r="BF22" s="13" t="s"/>
      <c r="BG22" s="13" t="s"/>
      <c r="BH22" s="13" t="s"/>
      <c r="BI22" s="13" t="s"/>
    </row>
    <row r="23" ht="20" customHeight="true">
      <c r="A23" s="13" t="s">
        <v>188</v>
      </c>
      <c r="B23" s="13">
        <v>1304404909</v>
      </c>
      <c r="C23" s="13" t="s">
        <v>189</v>
      </c>
      <c r="D23" s="13" t="s">
        <v>126</v>
      </c>
      <c r="E23" s="13" t="s">
        <v>127</v>
      </c>
      <c r="F23" s="13">
        <v>0</v>
      </c>
      <c r="G23" s="13">
        <v>0</v>
      </c>
      <c r="H23" s="13">
        <v>0.2</v>
      </c>
      <c r="I23" s="13">
        <v>0.1</v>
      </c>
      <c r="J23" s="13" t="s">
        <v>190</v>
      </c>
      <c r="K23" s="13">
        <v>0</v>
      </c>
      <c r="L23" s="13">
        <v>2</v>
      </c>
      <c r="M23" s="13">
        <v>0</v>
      </c>
      <c r="N23" s="13">
        <v>0</v>
      </c>
      <c r="O23" s="13">
        <v>4190</v>
      </c>
      <c r="P23" s="13">
        <v>3033</v>
      </c>
      <c r="Q23" s="13">
        <v>28</v>
      </c>
      <c r="R23" s="13">
        <v>1157</v>
      </c>
      <c r="S23" s="13">
        <v>3033</v>
      </c>
      <c r="T23" s="13">
        <v>28</v>
      </c>
      <c r="U23" s="13">
        <v>1157</v>
      </c>
      <c r="V23" s="13" t="s">
        <v>129</v>
      </c>
      <c r="W23" s="13">
        <v>3000</v>
      </c>
      <c r="X23" s="13" t="s">
        <v>130</v>
      </c>
      <c r="Y23" s="13" t="s">
        <v>131</v>
      </c>
      <c r="Z23" s="13" t="s"/>
      <c r="AA23" s="13" t="s"/>
      <c r="AB23" s="13" t="s"/>
      <c r="AC23" s="13" t="s"/>
      <c r="AD23" s="13" t="s">
        <v>130</v>
      </c>
      <c r="AE23" s="13" t="s">
        <v>130</v>
      </c>
      <c r="AF23" s="13">
        <v>0</v>
      </c>
      <c r="AG23" s="13">
        <v>0</v>
      </c>
      <c r="AH23" s="13">
        <v>0</v>
      </c>
      <c r="AI23" s="13" t="s"/>
      <c r="AJ23" s="13" t="s"/>
      <c r="AK23" s="13" t="s"/>
      <c r="AL23" s="13">
        <v>0</v>
      </c>
      <c r="AM23" s="13">
        <v>0</v>
      </c>
      <c r="AN23" s="13">
        <v>0</v>
      </c>
      <c r="AO23" s="13">
        <v>30.33</v>
      </c>
      <c r="AP23" s="13">
        <v>34</v>
      </c>
      <c r="AQ23" s="13">
        <v>46.77</v>
      </c>
      <c r="AR23" s="13">
        <v>205.51</v>
      </c>
      <c r="AS23" s="13">
        <v>25</v>
      </c>
      <c r="AT23" s="13">
        <v>43</v>
      </c>
      <c r="AU23" s="13">
        <v>10</v>
      </c>
      <c r="AV23" s="13">
        <v>30</v>
      </c>
      <c r="AW23" s="13">
        <v>81.34</v>
      </c>
      <c r="AX23" s="13">
        <v>81.34</v>
      </c>
      <c r="AY23" s="13">
        <v>25</v>
      </c>
      <c r="AZ23" s="13" t="s"/>
      <c r="BA23" s="13" t="s"/>
      <c r="BB23" s="1">
        <f>=IF(IF(BA23&lt;&gt;"",IF(AZ23&lt;&gt;"",CEILING(((AZ23-BA23)/AZ23)*100,1),IF(AND(O23&lt;&gt;"",O23&gt;0),CEILING((((O23-BA23)/O23)*100),1),"")),"")&gt;=0,IF(BA23&lt;&gt;"",IF(AZ23&lt;&gt;"",CEILING(((AZ23-BA23)/AZ23)*100,1),IF(AND(O23&lt;&gt;"",O23&gt;0),CEILING((((O23-BA23)/O23)*100),1),"")),""), "Ошибка: цена до скидки должна быть больше текущей.")</f>
      </c>
      <c r="BC23" s="13" t="s"/>
      <c r="BD23" s="13" t="s"/>
      <c r="BE23" s="13" t="s"/>
      <c r="BF23" s="13" t="s"/>
      <c r="BG23" s="13" t="s"/>
      <c r="BH23" s="13" t="s"/>
      <c r="BI23" s="13" t="s"/>
    </row>
    <row r="24" ht="20" customHeight="true">
      <c r="A24" s="13" t="s">
        <v>191</v>
      </c>
      <c r="B24" s="13">
        <v>1304421794</v>
      </c>
      <c r="C24" s="13" t="s">
        <v>192</v>
      </c>
      <c r="D24" s="13" t="s">
        <v>126</v>
      </c>
      <c r="E24" s="13" t="s">
        <v>127</v>
      </c>
      <c r="F24" s="13">
        <v>0</v>
      </c>
      <c r="G24" s="13">
        <v>0</v>
      </c>
      <c r="H24" s="13">
        <v>0.84</v>
      </c>
      <c r="I24" s="13">
        <v>0.2</v>
      </c>
      <c r="J24" s="13" t="s">
        <v>193</v>
      </c>
      <c r="K24" s="13">
        <v>0</v>
      </c>
      <c r="L24" s="13">
        <v>82</v>
      </c>
      <c r="M24" s="13">
        <v>0</v>
      </c>
      <c r="N24" s="13">
        <v>0</v>
      </c>
      <c r="O24" s="13">
        <v>7290</v>
      </c>
      <c r="P24" s="13">
        <v>3900</v>
      </c>
      <c r="Q24" s="13">
        <v>47</v>
      </c>
      <c r="R24" s="13">
        <v>3390</v>
      </c>
      <c r="S24" s="13">
        <v>1727</v>
      </c>
      <c r="T24" s="13">
        <v>77</v>
      </c>
      <c r="U24" s="13">
        <v>5563</v>
      </c>
      <c r="V24" s="13" t="s">
        <v>129</v>
      </c>
      <c r="W24" s="13">
        <v>2550</v>
      </c>
      <c r="X24" s="13" t="s">
        <v>130</v>
      </c>
      <c r="Y24" s="13" t="s">
        <v>131</v>
      </c>
      <c r="Z24" s="13" t="s"/>
      <c r="AA24" s="13" t="s"/>
      <c r="AB24" s="13" t="s"/>
      <c r="AC24" s="13" t="s"/>
      <c r="AD24" s="13" t="s">
        <v>130</v>
      </c>
      <c r="AE24" s="13" t="s">
        <v>130</v>
      </c>
      <c r="AF24" s="13">
        <v>0</v>
      </c>
      <c r="AG24" s="13">
        <v>0</v>
      </c>
      <c r="AH24" s="13">
        <v>0</v>
      </c>
      <c r="AI24" s="13" t="s"/>
      <c r="AJ24" s="13" t="s"/>
      <c r="AK24" s="13" t="s"/>
      <c r="AL24" s="13">
        <v>0</v>
      </c>
      <c r="AM24" s="13">
        <v>0</v>
      </c>
      <c r="AN24" s="13">
        <v>0</v>
      </c>
      <c r="AO24" s="13">
        <v>17.27</v>
      </c>
      <c r="AP24" s="13">
        <v>34</v>
      </c>
      <c r="AQ24" s="13">
        <v>46.77</v>
      </c>
      <c r="AR24" s="13">
        <v>153.27</v>
      </c>
      <c r="AS24" s="13">
        <v>25</v>
      </c>
      <c r="AT24" s="13">
        <v>43</v>
      </c>
      <c r="AU24" s="13">
        <v>10</v>
      </c>
      <c r="AV24" s="13">
        <v>30</v>
      </c>
      <c r="AW24" s="13">
        <v>81.34</v>
      </c>
      <c r="AX24" s="13">
        <v>81.34</v>
      </c>
      <c r="AY24" s="13">
        <v>25</v>
      </c>
      <c r="AZ24" s="13" t="s"/>
      <c r="BA24" s="13" t="s"/>
      <c r="BB24" s="1">
        <f>=IF(IF(BA24&lt;&gt;"",IF(AZ24&lt;&gt;"",CEILING(((AZ24-BA24)/AZ24)*100,1),IF(AND(O24&lt;&gt;"",O24&gt;0),CEILING((((O24-BA24)/O24)*100),1),"")),"")&gt;=0,IF(BA24&lt;&gt;"",IF(AZ24&lt;&gt;"",CEILING(((AZ24-BA24)/AZ24)*100,1),IF(AND(O24&lt;&gt;"",O24&gt;0),CEILING((((O24-BA24)/O24)*100),1),"")),""), "Ошибка: цена до скидки должна быть больше текущей.")</f>
      </c>
      <c r="BC24" s="13" t="s"/>
      <c r="BD24" s="13" t="s"/>
      <c r="BE24" s="13" t="s"/>
      <c r="BF24" s="13" t="s"/>
      <c r="BG24" s="13" t="s"/>
      <c r="BH24" s="13" t="s"/>
      <c r="BI24" s="13" t="s"/>
    </row>
    <row r="25" ht="20" customHeight="true">
      <c r="A25" s="13" t="s">
        <v>194</v>
      </c>
      <c r="B25" s="13">
        <v>1317607232</v>
      </c>
      <c r="C25" s="13" t="s">
        <v>195</v>
      </c>
      <c r="D25" s="13" t="s">
        <v>126</v>
      </c>
      <c r="E25" s="13" t="s">
        <v>127</v>
      </c>
      <c r="F25" s="13">
        <v>0</v>
      </c>
      <c r="G25" s="13">
        <v>0</v>
      </c>
      <c r="H25" s="13">
        <v>0.84</v>
      </c>
      <c r="I25" s="13">
        <v>0.2</v>
      </c>
      <c r="J25" s="13" t="s">
        <v>196</v>
      </c>
      <c r="K25" s="13">
        <v>0</v>
      </c>
      <c r="L25" s="13">
        <v>86</v>
      </c>
      <c r="M25" s="13">
        <v>0</v>
      </c>
      <c r="N25" s="13">
        <v>0</v>
      </c>
      <c r="O25" s="13">
        <v>5990</v>
      </c>
      <c r="P25" s="13">
        <v>3590</v>
      </c>
      <c r="Q25" s="13">
        <v>41</v>
      </c>
      <c r="R25" s="13">
        <v>2400</v>
      </c>
      <c r="S25" s="13">
        <v>2000</v>
      </c>
      <c r="T25" s="13">
        <v>75</v>
      </c>
      <c r="U25" s="13">
        <v>4486</v>
      </c>
      <c r="V25" s="13" t="s">
        <v>129</v>
      </c>
      <c r="W25" s="13">
        <v>3290</v>
      </c>
      <c r="X25" s="13" t="s">
        <v>130</v>
      </c>
      <c r="Y25" s="13" t="s">
        <v>131</v>
      </c>
      <c r="Z25" s="13" t="s"/>
      <c r="AA25" s="13" t="s"/>
      <c r="AB25" s="13" t="s"/>
      <c r="AC25" s="13" t="s"/>
      <c r="AD25" s="13" t="s">
        <v>130</v>
      </c>
      <c r="AE25" s="13" t="s">
        <v>130</v>
      </c>
      <c r="AF25" s="13">
        <v>0</v>
      </c>
      <c r="AG25" s="13">
        <v>0</v>
      </c>
      <c r="AH25" s="13">
        <v>0</v>
      </c>
      <c r="AI25" s="13" t="s"/>
      <c r="AJ25" s="13" t="s"/>
      <c r="AK25" s="13" t="s"/>
      <c r="AL25" s="13">
        <v>0</v>
      </c>
      <c r="AM25" s="13">
        <v>0</v>
      </c>
      <c r="AN25" s="13">
        <v>0</v>
      </c>
      <c r="AO25" s="13">
        <v>20</v>
      </c>
      <c r="AP25" s="13">
        <v>34</v>
      </c>
      <c r="AQ25" s="13">
        <v>46.77</v>
      </c>
      <c r="AR25" s="13">
        <v>164.19</v>
      </c>
      <c r="AS25" s="13">
        <v>25</v>
      </c>
      <c r="AT25" s="13">
        <v>43</v>
      </c>
      <c r="AU25" s="13">
        <v>10</v>
      </c>
      <c r="AV25" s="13">
        <v>30</v>
      </c>
      <c r="AW25" s="13">
        <v>81.34</v>
      </c>
      <c r="AX25" s="13">
        <v>81.34</v>
      </c>
      <c r="AY25" s="13">
        <v>25</v>
      </c>
      <c r="AZ25" s="13" t="s"/>
      <c r="BA25" s="13" t="s"/>
      <c r="BB25" s="1">
        <f>=IF(IF(BA25&lt;&gt;"",IF(AZ25&lt;&gt;"",CEILING(((AZ25-BA25)/AZ25)*100,1),IF(AND(O25&lt;&gt;"",O25&gt;0),CEILING((((O25-BA25)/O25)*100),1),"")),"")&gt;=0,IF(BA25&lt;&gt;"",IF(AZ25&lt;&gt;"",CEILING(((AZ25-BA25)/AZ25)*100,1),IF(AND(O25&lt;&gt;"",O25&gt;0),CEILING((((O25-BA25)/O25)*100),1),"")),""), "Ошибка: цена до скидки должна быть больше текущей.")</f>
      </c>
      <c r="BC25" s="13" t="s"/>
      <c r="BD25" s="13" t="s"/>
      <c r="BE25" s="13" t="s"/>
      <c r="BF25" s="13" t="s"/>
      <c r="BG25" s="13" t="s"/>
      <c r="BH25" s="13" t="s"/>
      <c r="BI25" s="13" t="s"/>
    </row>
    <row r="26" ht="20" customHeight="true">
      <c r="A26" s="13" t="s">
        <v>197</v>
      </c>
      <c r="B26" s="13">
        <v>1317717177</v>
      </c>
      <c r="C26" s="13" t="s">
        <v>198</v>
      </c>
      <c r="D26" s="13" t="s">
        <v>126</v>
      </c>
      <c r="E26" s="13" t="s">
        <v>127</v>
      </c>
      <c r="F26" s="13">
        <v>0</v>
      </c>
      <c r="G26" s="13">
        <v>0</v>
      </c>
      <c r="H26" s="13">
        <v>0.2</v>
      </c>
      <c r="I26" s="13">
        <v>0.1</v>
      </c>
      <c r="J26" s="13" t="s">
        <v>199</v>
      </c>
      <c r="K26" s="13">
        <v>0</v>
      </c>
      <c r="L26" s="13">
        <v>0</v>
      </c>
      <c r="M26" s="13">
        <v>0</v>
      </c>
      <c r="N26" s="13">
        <v>0</v>
      </c>
      <c r="O26" s="13">
        <v>5990</v>
      </c>
      <c r="P26" s="13">
        <v>3190</v>
      </c>
      <c r="Q26" s="13">
        <v>47</v>
      </c>
      <c r="R26" s="13">
        <v>2800</v>
      </c>
      <c r="S26" s="13">
        <v>3190</v>
      </c>
      <c r="T26" s="13">
        <v>47</v>
      </c>
      <c r="U26" s="13">
        <v>2800</v>
      </c>
      <c r="V26" s="13" t="s">
        <v>129</v>
      </c>
      <c r="W26" s="13" t="s"/>
      <c r="X26" s="13" t="s">
        <v>130</v>
      </c>
      <c r="Y26" s="13" t="s">
        <v>131</v>
      </c>
      <c r="Z26" s="13" t="s"/>
      <c r="AA26" s="13" t="s"/>
      <c r="AB26" s="13" t="s"/>
      <c r="AC26" s="13" t="s"/>
      <c r="AD26" s="13" t="s">
        <v>130</v>
      </c>
      <c r="AE26" s="13" t="s">
        <v>130</v>
      </c>
      <c r="AF26" s="13">
        <v>0</v>
      </c>
      <c r="AG26" s="13">
        <v>0</v>
      </c>
      <c r="AH26" s="13">
        <v>0</v>
      </c>
      <c r="AI26" s="13" t="s"/>
      <c r="AJ26" s="13" t="s"/>
      <c r="AK26" s="13" t="s"/>
      <c r="AL26" s="13">
        <v>0</v>
      </c>
      <c r="AM26" s="13">
        <v>0</v>
      </c>
      <c r="AN26" s="13">
        <v>0</v>
      </c>
      <c r="AO26" s="13">
        <v>31.9</v>
      </c>
      <c r="AP26" s="13">
        <v>34</v>
      </c>
      <c r="AQ26" s="13">
        <v>46.77</v>
      </c>
      <c r="AR26" s="13">
        <v>211.79</v>
      </c>
      <c r="AS26" s="13">
        <v>25</v>
      </c>
      <c r="AT26" s="13">
        <v>43</v>
      </c>
      <c r="AU26" s="13">
        <v>10</v>
      </c>
      <c r="AV26" s="13">
        <v>30</v>
      </c>
      <c r="AW26" s="13">
        <v>81.34</v>
      </c>
      <c r="AX26" s="13">
        <v>81.34</v>
      </c>
      <c r="AY26" s="13">
        <v>25</v>
      </c>
      <c r="AZ26" s="13" t="s"/>
      <c r="BA26" s="13" t="s"/>
      <c r="BB26" s="1">
        <f>=IF(IF(BA26&lt;&gt;"",IF(AZ26&lt;&gt;"",CEILING(((AZ26-BA26)/AZ26)*100,1),IF(AND(O26&lt;&gt;"",O26&gt;0),CEILING((((O26-BA26)/O26)*100),1),"")),"")&gt;=0,IF(BA26&lt;&gt;"",IF(AZ26&lt;&gt;"",CEILING(((AZ26-BA26)/AZ26)*100,1),IF(AND(O26&lt;&gt;"",O26&gt;0),CEILING((((O26-BA26)/O26)*100),1),"")),""), "Ошибка: цена до скидки должна быть больше текущей.")</f>
      </c>
      <c r="BC26" s="13" t="s"/>
      <c r="BD26" s="13" t="s"/>
      <c r="BE26" s="13" t="s"/>
      <c r="BF26" s="13" t="s"/>
      <c r="BG26" s="13" t="s"/>
      <c r="BH26" s="13" t="s"/>
      <c r="BI26" s="13" t="s"/>
    </row>
    <row r="27" ht="20" customHeight="true">
      <c r="A27" s="13" t="s">
        <v>200</v>
      </c>
      <c r="B27" s="13">
        <v>1320600531</v>
      </c>
      <c r="C27" s="13" t="s">
        <v>201</v>
      </c>
      <c r="D27" s="13" t="s">
        <v>134</v>
      </c>
      <c r="E27" s="13" t="s">
        <v>127</v>
      </c>
      <c r="F27" s="13">
        <v>0</v>
      </c>
      <c r="G27" s="13">
        <v>98</v>
      </c>
      <c r="H27" s="13">
        <v>0.96</v>
      </c>
      <c r="I27" s="13">
        <v>0.2</v>
      </c>
      <c r="J27" s="13" t="s">
        <v>202</v>
      </c>
      <c r="K27" s="13">
        <v>208378.46</v>
      </c>
      <c r="L27" s="13">
        <v>11807</v>
      </c>
      <c r="M27" s="13">
        <v>1.09</v>
      </c>
      <c r="N27" s="13">
        <v>129</v>
      </c>
      <c r="O27" s="13">
        <v>5990</v>
      </c>
      <c r="P27" s="13">
        <v>3220</v>
      </c>
      <c r="Q27" s="13">
        <v>47</v>
      </c>
      <c r="R27" s="13">
        <v>2770</v>
      </c>
      <c r="S27" s="13">
        <v>2111</v>
      </c>
      <c r="T27" s="13">
        <v>75</v>
      </c>
      <c r="U27" s="13">
        <v>4472</v>
      </c>
      <c r="V27" s="13" t="s">
        <v>129</v>
      </c>
      <c r="W27" s="13">
        <v>2390</v>
      </c>
      <c r="X27" s="13" t="s">
        <v>130</v>
      </c>
      <c r="Y27" s="13" t="s">
        <v>131</v>
      </c>
      <c r="Z27" s="13" t="s"/>
      <c r="AA27" s="13" t="s"/>
      <c r="AB27" s="13" t="s"/>
      <c r="AC27" s="13" t="s"/>
      <c r="AD27" s="13" t="s">
        <v>130</v>
      </c>
      <c r="AE27" s="13" t="s">
        <v>130</v>
      </c>
      <c r="AF27" s="13">
        <v>0</v>
      </c>
      <c r="AG27" s="13">
        <v>1282</v>
      </c>
      <c r="AH27" s="13">
        <v>1282</v>
      </c>
      <c r="AI27" s="13" t="s">
        <v>203</v>
      </c>
      <c r="AJ27" s="13" t="s">
        <v>203</v>
      </c>
      <c r="AK27" s="13" t="s">
        <v>137</v>
      </c>
      <c r="AL27" s="13">
        <v>0</v>
      </c>
      <c r="AM27" s="13">
        <v>1.06</v>
      </c>
      <c r="AN27" s="13">
        <v>1.06</v>
      </c>
      <c r="AO27" s="13">
        <v>21.11</v>
      </c>
      <c r="AP27" s="13">
        <v>34</v>
      </c>
      <c r="AQ27" s="13">
        <v>46.77</v>
      </c>
      <c r="AR27" s="13">
        <v>168.63</v>
      </c>
      <c r="AS27" s="13">
        <v>25</v>
      </c>
      <c r="AT27" s="13">
        <v>43</v>
      </c>
      <c r="AU27" s="13">
        <v>10</v>
      </c>
      <c r="AV27" s="13">
        <v>30</v>
      </c>
      <c r="AW27" s="13">
        <v>81.34</v>
      </c>
      <c r="AX27" s="13">
        <v>81.34</v>
      </c>
      <c r="AY27" s="13">
        <v>25</v>
      </c>
      <c r="AZ27" s="13" t="s"/>
      <c r="BA27" s="13" t="s"/>
      <c r="BB27" s="1">
        <f>=IF(IF(BA27&lt;&gt;"",IF(AZ27&lt;&gt;"",CEILING(((AZ27-BA27)/AZ27)*100,1),IF(AND(O27&lt;&gt;"",O27&gt;0),CEILING((((O27-BA27)/O27)*100),1),"")),"")&gt;=0,IF(BA27&lt;&gt;"",IF(AZ27&lt;&gt;"",CEILING(((AZ27-BA27)/AZ27)*100,1),IF(AND(O27&lt;&gt;"",O27&gt;0),CEILING((((O27-BA27)/O27)*100),1),"")),""), "Ошибка: цена до скидки должна быть больше текущей.")</f>
      </c>
      <c r="BC27" s="13" t="s"/>
      <c r="BD27" s="13" t="s"/>
      <c r="BE27" s="13" t="s"/>
      <c r="BF27" s="13" t="s"/>
      <c r="BG27" s="13" t="s"/>
      <c r="BH27" s="13" t="s"/>
      <c r="BI27" s="13" t="s"/>
    </row>
    <row r="28" ht="20" customHeight="true">
      <c r="A28" s="13" t="s">
        <v>204</v>
      </c>
      <c r="B28" s="13">
        <v>1423388777</v>
      </c>
      <c r="C28" s="13" t="s">
        <v>205</v>
      </c>
      <c r="D28" s="13" t="s">
        <v>126</v>
      </c>
      <c r="E28" s="13" t="s">
        <v>127</v>
      </c>
      <c r="F28" s="13">
        <v>0</v>
      </c>
      <c r="G28" s="13">
        <v>0</v>
      </c>
      <c r="H28" s="13">
        <v>0.2</v>
      </c>
      <c r="I28" s="13">
        <v>0.1</v>
      </c>
      <c r="J28" s="13" t="s">
        <v>206</v>
      </c>
      <c r="K28" s="13">
        <v>0</v>
      </c>
      <c r="L28" s="13">
        <v>27</v>
      </c>
      <c r="M28" s="13">
        <v>0</v>
      </c>
      <c r="N28" s="13">
        <v>0</v>
      </c>
      <c r="O28" s="13">
        <v>11900</v>
      </c>
      <c r="P28" s="13">
        <v>6590</v>
      </c>
      <c r="Q28" s="13">
        <v>45</v>
      </c>
      <c r="R28" s="13">
        <v>5310</v>
      </c>
      <c r="S28" s="13">
        <v>6590</v>
      </c>
      <c r="T28" s="13">
        <v>45</v>
      </c>
      <c r="U28" s="13">
        <v>5310</v>
      </c>
      <c r="V28" s="13" t="s">
        <v>129</v>
      </c>
      <c r="W28" s="13" t="s"/>
      <c r="X28" s="13" t="s">
        <v>130</v>
      </c>
      <c r="Y28" s="13" t="s">
        <v>131</v>
      </c>
      <c r="Z28" s="13" t="s"/>
      <c r="AA28" s="13" t="s"/>
      <c r="AB28" s="13" t="s"/>
      <c r="AC28" s="13" t="s"/>
      <c r="AD28" s="13" t="s">
        <v>130</v>
      </c>
      <c r="AE28" s="13" t="s">
        <v>130</v>
      </c>
      <c r="AF28" s="13">
        <v>0</v>
      </c>
      <c r="AG28" s="13">
        <v>0</v>
      </c>
      <c r="AH28" s="13">
        <v>0</v>
      </c>
      <c r="AI28" s="13" t="s"/>
      <c r="AJ28" s="13" t="s"/>
      <c r="AK28" s="13" t="s"/>
      <c r="AL28" s="13">
        <v>0</v>
      </c>
      <c r="AM28" s="13">
        <v>0</v>
      </c>
      <c r="AN28" s="13">
        <v>0</v>
      </c>
      <c r="AO28" s="13">
        <v>65.9</v>
      </c>
      <c r="AP28" s="13">
        <v>34</v>
      </c>
      <c r="AQ28" s="13">
        <v>46.77</v>
      </c>
      <c r="AR28" s="13">
        <v>347.79</v>
      </c>
      <c r="AS28" s="13">
        <v>25</v>
      </c>
      <c r="AT28" s="13">
        <v>43</v>
      </c>
      <c r="AU28" s="13">
        <v>10</v>
      </c>
      <c r="AV28" s="13">
        <v>30</v>
      </c>
      <c r="AW28" s="13">
        <v>81.34</v>
      </c>
      <c r="AX28" s="13">
        <v>81.34</v>
      </c>
      <c r="AY28" s="13">
        <v>25</v>
      </c>
      <c r="AZ28" s="13" t="s"/>
      <c r="BA28" s="13" t="s"/>
      <c r="BB28" s="1">
        <f>=IF(IF(BA28&lt;&gt;"",IF(AZ28&lt;&gt;"",CEILING(((AZ28-BA28)/AZ28)*100,1),IF(AND(O28&lt;&gt;"",O28&gt;0),CEILING((((O28-BA28)/O28)*100),1),"")),"")&gt;=0,IF(BA28&lt;&gt;"",IF(AZ28&lt;&gt;"",CEILING(((AZ28-BA28)/AZ28)*100,1),IF(AND(O28&lt;&gt;"",O28&gt;0),CEILING((((O28-BA28)/O28)*100),1),"")),""), "Ошибка: цена до скидки должна быть больше текущей.")</f>
      </c>
      <c r="BC28" s="13" t="s"/>
      <c r="BD28" s="13" t="s"/>
      <c r="BE28" s="13" t="s"/>
      <c r="BF28" s="13" t="s"/>
      <c r="BG28" s="13" t="s"/>
      <c r="BH28" s="13" t="s"/>
      <c r="BI28" s="13" t="s"/>
    </row>
    <row r="29" ht="20" customHeight="true">
      <c r="A29" s="13" t="s">
        <v>207</v>
      </c>
      <c r="B29" s="13">
        <v>1423394527</v>
      </c>
      <c r="C29" s="13" t="s">
        <v>208</v>
      </c>
      <c r="D29" s="13" t="s">
        <v>126</v>
      </c>
      <c r="E29" s="13" t="s">
        <v>127</v>
      </c>
      <c r="F29" s="13">
        <v>0</v>
      </c>
      <c r="G29" s="13">
        <v>0</v>
      </c>
      <c r="H29" s="13">
        <v>0.2</v>
      </c>
      <c r="I29" s="13">
        <v>0.1</v>
      </c>
      <c r="J29" s="13" t="s">
        <v>209</v>
      </c>
      <c r="K29" s="13">
        <v>0</v>
      </c>
      <c r="L29" s="13">
        <v>22</v>
      </c>
      <c r="M29" s="13">
        <v>0</v>
      </c>
      <c r="N29" s="13">
        <v>0</v>
      </c>
      <c r="O29" s="13">
        <v>8900</v>
      </c>
      <c r="P29" s="13">
        <v>4990</v>
      </c>
      <c r="Q29" s="13">
        <v>44</v>
      </c>
      <c r="R29" s="13">
        <v>3910</v>
      </c>
      <c r="S29" s="13">
        <v>4341</v>
      </c>
      <c r="T29" s="13">
        <v>52</v>
      </c>
      <c r="U29" s="13">
        <v>4559</v>
      </c>
      <c r="V29" s="13" t="s">
        <v>129</v>
      </c>
      <c r="W29" s="13" t="s"/>
      <c r="X29" s="13" t="s">
        <v>130</v>
      </c>
      <c r="Y29" s="13" t="s">
        <v>131</v>
      </c>
      <c r="Z29" s="13" t="s"/>
      <c r="AA29" s="13" t="s"/>
      <c r="AB29" s="13" t="s"/>
      <c r="AC29" s="13" t="s"/>
      <c r="AD29" s="13" t="s">
        <v>130</v>
      </c>
      <c r="AE29" s="13" t="s">
        <v>130</v>
      </c>
      <c r="AF29" s="13">
        <v>0</v>
      </c>
      <c r="AG29" s="13">
        <v>0</v>
      </c>
      <c r="AH29" s="13">
        <v>0</v>
      </c>
      <c r="AI29" s="13" t="s"/>
      <c r="AJ29" s="13" t="s"/>
      <c r="AK29" s="13" t="s"/>
      <c r="AL29" s="13">
        <v>0</v>
      </c>
      <c r="AM29" s="13">
        <v>0</v>
      </c>
      <c r="AN29" s="13">
        <v>0</v>
      </c>
      <c r="AO29" s="13">
        <v>43.41</v>
      </c>
      <c r="AP29" s="13">
        <v>34</v>
      </c>
      <c r="AQ29" s="13">
        <v>46.77</v>
      </c>
      <c r="AR29" s="13">
        <v>257.83</v>
      </c>
      <c r="AS29" s="13">
        <v>25</v>
      </c>
      <c r="AT29" s="13">
        <v>43</v>
      </c>
      <c r="AU29" s="13">
        <v>10</v>
      </c>
      <c r="AV29" s="13">
        <v>30</v>
      </c>
      <c r="AW29" s="13">
        <v>81.34</v>
      </c>
      <c r="AX29" s="13">
        <v>81.34</v>
      </c>
      <c r="AY29" s="13">
        <v>25</v>
      </c>
      <c r="AZ29" s="13" t="s"/>
      <c r="BA29" s="13" t="s"/>
      <c r="BB29" s="1">
        <f>=IF(IF(BA29&lt;&gt;"",IF(AZ29&lt;&gt;"",CEILING(((AZ29-BA29)/AZ29)*100,1),IF(AND(O29&lt;&gt;"",O29&gt;0),CEILING((((O29-BA29)/O29)*100),1),"")),"")&gt;=0,IF(BA29&lt;&gt;"",IF(AZ29&lt;&gt;"",CEILING(((AZ29-BA29)/AZ29)*100,1),IF(AND(O29&lt;&gt;"",O29&gt;0),CEILING((((O29-BA29)/O29)*100),1),"")),""), "Ошибка: цена до скидки должна быть больше текущей.")</f>
      </c>
      <c r="BC29" s="13" t="s"/>
      <c r="BD29" s="13" t="s"/>
      <c r="BE29" s="13" t="s"/>
      <c r="BF29" s="13" t="s"/>
      <c r="BG29" s="13" t="s"/>
      <c r="BH29" s="13" t="s"/>
      <c r="BI29" s="13" t="s"/>
    </row>
    <row r="30" ht="20" customHeight="true">
      <c r="A30" s="13" t="s">
        <v>210</v>
      </c>
      <c r="B30" s="13">
        <v>1447400201</v>
      </c>
      <c r="C30" s="13" t="s">
        <v>211</v>
      </c>
      <c r="D30" s="13" t="s">
        <v>134</v>
      </c>
      <c r="E30" s="13" t="s">
        <v>127</v>
      </c>
      <c r="F30" s="13">
        <v>0</v>
      </c>
      <c r="G30" s="13">
        <v>3</v>
      </c>
      <c r="H30" s="13">
        <v>0.96</v>
      </c>
      <c r="I30" s="13">
        <v>0.2</v>
      </c>
      <c r="J30" s="13" t="s">
        <v>212</v>
      </c>
      <c r="K30" s="13">
        <v>8026</v>
      </c>
      <c r="L30" s="13">
        <v>1773</v>
      </c>
      <c r="M30" s="13">
        <v>0.17</v>
      </c>
      <c r="N30" s="13">
        <v>3</v>
      </c>
      <c r="O30" s="13">
        <v>8990</v>
      </c>
      <c r="P30" s="13">
        <v>5140</v>
      </c>
      <c r="Q30" s="13">
        <v>43</v>
      </c>
      <c r="R30" s="13">
        <v>3850</v>
      </c>
      <c r="S30" s="13">
        <v>3000</v>
      </c>
      <c r="T30" s="13">
        <v>75</v>
      </c>
      <c r="U30" s="13">
        <v>6686</v>
      </c>
      <c r="V30" s="13" t="s">
        <v>129</v>
      </c>
      <c r="W30" s="13">
        <v>4490</v>
      </c>
      <c r="X30" s="13" t="s">
        <v>130</v>
      </c>
      <c r="Y30" s="13" t="s">
        <v>131</v>
      </c>
      <c r="Z30" s="13" t="s"/>
      <c r="AA30" s="13" t="s"/>
      <c r="AB30" s="13" t="s"/>
      <c r="AC30" s="13" t="s"/>
      <c r="AD30" s="13" t="s">
        <v>130</v>
      </c>
      <c r="AE30" s="13" t="s">
        <v>130</v>
      </c>
      <c r="AF30" s="13">
        <v>0</v>
      </c>
      <c r="AG30" s="13">
        <v>864</v>
      </c>
      <c r="AH30" s="13">
        <v>864</v>
      </c>
      <c r="AI30" s="13" t="s">
        <v>213</v>
      </c>
      <c r="AJ30" s="13" t="s">
        <v>213</v>
      </c>
      <c r="AK30" s="13" t="s">
        <v>137</v>
      </c>
      <c r="AL30" s="13">
        <v>0</v>
      </c>
      <c r="AM30" s="13">
        <v>1.58</v>
      </c>
      <c r="AN30" s="13">
        <v>1.58</v>
      </c>
      <c r="AO30" s="13">
        <v>30</v>
      </c>
      <c r="AP30" s="13">
        <v>34</v>
      </c>
      <c r="AQ30" s="13">
        <v>46.77</v>
      </c>
      <c r="AR30" s="13">
        <v>204.19</v>
      </c>
      <c r="AS30" s="13">
        <v>25</v>
      </c>
      <c r="AT30" s="13">
        <v>43</v>
      </c>
      <c r="AU30" s="13">
        <v>10</v>
      </c>
      <c r="AV30" s="13">
        <v>30</v>
      </c>
      <c r="AW30" s="13">
        <v>81.34</v>
      </c>
      <c r="AX30" s="13">
        <v>81.34</v>
      </c>
      <c r="AY30" s="13">
        <v>25</v>
      </c>
      <c r="AZ30" s="13" t="s"/>
      <c r="BA30" s="13" t="s"/>
      <c r="BB30" s="1">
        <f>=IF(IF(BA30&lt;&gt;"",IF(AZ30&lt;&gt;"",CEILING(((AZ30-BA30)/AZ30)*100,1),IF(AND(O30&lt;&gt;"",O30&gt;0),CEILING((((O30-BA30)/O30)*100),1),"")),"")&gt;=0,IF(BA30&lt;&gt;"",IF(AZ30&lt;&gt;"",CEILING(((AZ30-BA30)/AZ30)*100,1),IF(AND(O30&lt;&gt;"",O30&gt;0),CEILING((((O30-BA30)/O30)*100),1),"")),""), "Ошибка: цена до скидки должна быть больше текущей.")</f>
      </c>
      <c r="BC30" s="13" t="s"/>
      <c r="BD30" s="13" t="s"/>
      <c r="BE30" s="13" t="s"/>
      <c r="BF30" s="13" t="s"/>
      <c r="BG30" s="13" t="s"/>
      <c r="BH30" s="13" t="s"/>
      <c r="BI30" s="13" t="s"/>
    </row>
    <row r="31" ht="20" customHeight="true">
      <c r="A31" s="13" t="s">
        <v>214</v>
      </c>
      <c r="B31" s="13">
        <v>1514932838</v>
      </c>
      <c r="C31" s="13" t="s">
        <v>215</v>
      </c>
      <c r="D31" s="13" t="s">
        <v>134</v>
      </c>
      <c r="E31" s="13" t="s">
        <v>127</v>
      </c>
      <c r="F31" s="13">
        <v>0</v>
      </c>
      <c r="G31" s="13">
        <v>28</v>
      </c>
      <c r="H31" s="13">
        <v>0.64</v>
      </c>
      <c r="I31" s="13">
        <v>0.1</v>
      </c>
      <c r="J31" s="13" t="s">
        <v>216</v>
      </c>
      <c r="K31" s="13">
        <v>66539</v>
      </c>
      <c r="L31" s="13">
        <v>6190</v>
      </c>
      <c r="M31" s="13">
        <v>0.23</v>
      </c>
      <c r="N31" s="13">
        <v>14</v>
      </c>
      <c r="O31" s="13">
        <v>16990</v>
      </c>
      <c r="P31" s="13">
        <v>5200</v>
      </c>
      <c r="Q31" s="13">
        <v>70</v>
      </c>
      <c r="R31" s="13">
        <v>11790</v>
      </c>
      <c r="S31" s="13">
        <v>5200</v>
      </c>
      <c r="T31" s="13">
        <v>78</v>
      </c>
      <c r="U31" s="13">
        <v>13162</v>
      </c>
      <c r="V31" s="13" t="s">
        <v>129</v>
      </c>
      <c r="W31" s="13">
        <v>5000</v>
      </c>
      <c r="X31" s="13" t="s">
        <v>130</v>
      </c>
      <c r="Y31" s="13" t="s">
        <v>131</v>
      </c>
      <c r="Z31" s="13" t="s"/>
      <c r="AA31" s="13" t="s"/>
      <c r="AB31" s="13" t="s"/>
      <c r="AC31" s="13" t="s"/>
      <c r="AD31" s="13" t="s">
        <v>130</v>
      </c>
      <c r="AE31" s="13" t="s">
        <v>130</v>
      </c>
      <c r="AF31" s="13">
        <v>0</v>
      </c>
      <c r="AG31" s="13">
        <v>1988</v>
      </c>
      <c r="AH31" s="13">
        <v>1988</v>
      </c>
      <c r="AI31" s="13" t="s">
        <v>217</v>
      </c>
      <c r="AJ31" s="13" t="s">
        <v>217</v>
      </c>
      <c r="AK31" s="13" t="s">
        <v>137</v>
      </c>
      <c r="AL31" s="13">
        <v>0</v>
      </c>
      <c r="AM31" s="13">
        <v>1.42</v>
      </c>
      <c r="AN31" s="13">
        <v>1.42</v>
      </c>
      <c r="AO31" s="13">
        <v>52</v>
      </c>
      <c r="AP31" s="13">
        <v>34</v>
      </c>
      <c r="AQ31" s="13">
        <v>46.77</v>
      </c>
      <c r="AR31" s="13">
        <v>292.19</v>
      </c>
      <c r="AS31" s="13">
        <v>25</v>
      </c>
      <c r="AT31" s="13">
        <v>43</v>
      </c>
      <c r="AU31" s="13">
        <v>10</v>
      </c>
      <c r="AV31" s="13">
        <v>30</v>
      </c>
      <c r="AW31" s="13">
        <v>81.34</v>
      </c>
      <c r="AX31" s="13">
        <v>81.34</v>
      </c>
      <c r="AY31" s="13">
        <v>25</v>
      </c>
      <c r="AZ31" s="13" t="s"/>
      <c r="BA31" s="13" t="s"/>
      <c r="BB31" s="1">
        <f>=IF(IF(BA31&lt;&gt;"",IF(AZ31&lt;&gt;"",CEILING(((AZ31-BA31)/AZ31)*100,1),IF(AND(O31&lt;&gt;"",O31&gt;0),CEILING((((O31-BA31)/O31)*100),1),"")),"")&gt;=0,IF(BA31&lt;&gt;"",IF(AZ31&lt;&gt;"",CEILING(((AZ31-BA31)/AZ31)*100,1),IF(AND(O31&lt;&gt;"",O31&gt;0),CEILING((((O31-BA31)/O31)*100),1),"")),""), "Ошибка: цена до скидки должна быть больше текущей.")</f>
      </c>
      <c r="BC31" s="13" t="s"/>
      <c r="BD31" s="13" t="s"/>
      <c r="BE31" s="13" t="s"/>
      <c r="BF31" s="13" t="s"/>
      <c r="BG31" s="13" t="s"/>
      <c r="BH31" s="13" t="s"/>
      <c r="BI31" s="13" t="s"/>
    </row>
    <row r="32" ht="20" customHeight="true">
      <c r="A32" s="13" t="s">
        <v>218</v>
      </c>
      <c r="B32" s="13">
        <v>1611030793</v>
      </c>
      <c r="C32" s="13" t="s">
        <v>219</v>
      </c>
      <c r="D32" s="13" t="s">
        <v>134</v>
      </c>
      <c r="E32" s="13" t="s">
        <v>127</v>
      </c>
      <c r="F32" s="13">
        <v>32</v>
      </c>
      <c r="G32" s="13">
        <v>56</v>
      </c>
      <c r="H32" s="13">
        <v>1.35036</v>
      </c>
      <c r="I32" s="13">
        <v>0.3</v>
      </c>
      <c r="J32" s="13" t="s">
        <v>220</v>
      </c>
      <c r="K32" s="13">
        <v>15445.18</v>
      </c>
      <c r="L32" s="13">
        <v>3857</v>
      </c>
      <c r="M32" s="13">
        <v>0.13</v>
      </c>
      <c r="N32" s="13">
        <v>5</v>
      </c>
      <c r="O32" s="13">
        <v>8990</v>
      </c>
      <c r="P32" s="13">
        <v>6040</v>
      </c>
      <c r="Q32" s="13">
        <v>33</v>
      </c>
      <c r="R32" s="13">
        <v>2950</v>
      </c>
      <c r="S32" s="13">
        <v>3300</v>
      </c>
      <c r="T32" s="13">
        <v>74</v>
      </c>
      <c r="U32" s="13">
        <v>6589</v>
      </c>
      <c r="V32" s="13" t="s">
        <v>129</v>
      </c>
      <c r="W32" s="13">
        <v>3300</v>
      </c>
      <c r="X32" s="13" t="s">
        <v>130</v>
      </c>
      <c r="Y32" s="13" t="s">
        <v>131</v>
      </c>
      <c r="Z32" s="13" t="s"/>
      <c r="AA32" s="13" t="s"/>
      <c r="AB32" s="13" t="s"/>
      <c r="AC32" s="13" t="s"/>
      <c r="AD32" s="13" t="s">
        <v>130</v>
      </c>
      <c r="AE32" s="13" t="s">
        <v>130</v>
      </c>
      <c r="AF32" s="13">
        <v>0</v>
      </c>
      <c r="AG32" s="13">
        <v>0</v>
      </c>
      <c r="AH32" s="13">
        <v>0</v>
      </c>
      <c r="AI32" s="13" t="s"/>
      <c r="AJ32" s="13" t="s"/>
      <c r="AK32" s="13" t="s"/>
      <c r="AL32" s="13">
        <v>0</v>
      </c>
      <c r="AM32" s="13">
        <v>0</v>
      </c>
      <c r="AN32" s="13">
        <v>0</v>
      </c>
      <c r="AO32" s="13">
        <v>33</v>
      </c>
      <c r="AP32" s="13">
        <v>34</v>
      </c>
      <c r="AQ32" s="13">
        <v>56.94</v>
      </c>
      <c r="AR32" s="13">
        <v>234.49</v>
      </c>
      <c r="AS32" s="13">
        <v>25</v>
      </c>
      <c r="AT32" s="13">
        <v>43</v>
      </c>
      <c r="AU32" s="13">
        <v>10</v>
      </c>
      <c r="AV32" s="13">
        <v>30</v>
      </c>
      <c r="AW32" s="13">
        <v>99.64</v>
      </c>
      <c r="AX32" s="13">
        <v>99.64</v>
      </c>
      <c r="AY32" s="13">
        <v>25</v>
      </c>
      <c r="AZ32" s="13" t="s"/>
      <c r="BA32" s="13" t="s"/>
      <c r="BB32" s="1">
        <f>=IF(IF(BA32&lt;&gt;"",IF(AZ32&lt;&gt;"",CEILING(((AZ32-BA32)/AZ32)*100,1),IF(AND(O32&lt;&gt;"",O32&gt;0),CEILING((((O32-BA32)/O32)*100),1),"")),"")&gt;=0,IF(BA32&lt;&gt;"",IF(AZ32&lt;&gt;"",CEILING(((AZ32-BA32)/AZ32)*100,1),IF(AND(O32&lt;&gt;"",O32&gt;0),CEILING((((O32-BA32)/O32)*100),1),"")),""), "Ошибка: цена до скидки должна быть больше текущей.")</f>
      </c>
      <c r="BC32" s="13" t="s"/>
      <c r="BD32" s="13" t="s"/>
      <c r="BE32" s="13" t="s"/>
      <c r="BF32" s="13" t="s"/>
      <c r="BG32" s="13" t="s"/>
      <c r="BH32" s="13" t="s"/>
      <c r="BI32" s="13" t="s"/>
    </row>
    <row r="33" ht="20" customHeight="true">
      <c r="A33" s="13" t="s">
        <v>221</v>
      </c>
      <c r="B33" s="13">
        <v>1611873265</v>
      </c>
      <c r="C33" s="13" t="s">
        <v>222</v>
      </c>
      <c r="D33" s="13" t="s">
        <v>126</v>
      </c>
      <c r="E33" s="13" t="s">
        <v>127</v>
      </c>
      <c r="F33" s="13">
        <v>0</v>
      </c>
      <c r="G33" s="13">
        <v>0</v>
      </c>
      <c r="H33" s="13">
        <v>0.2</v>
      </c>
      <c r="I33" s="13">
        <v>0.1</v>
      </c>
      <c r="J33" s="13" t="s">
        <v>223</v>
      </c>
      <c r="K33" s="13">
        <v>0</v>
      </c>
      <c r="L33" s="13">
        <v>0</v>
      </c>
      <c r="M33" s="13">
        <v>0</v>
      </c>
      <c r="N33" s="13">
        <v>0</v>
      </c>
      <c r="O33" s="13">
        <v>7990</v>
      </c>
      <c r="P33" s="13">
        <v>6390</v>
      </c>
      <c r="Q33" s="13">
        <v>21</v>
      </c>
      <c r="R33" s="13">
        <v>1600</v>
      </c>
      <c r="S33" s="13">
        <v>6390</v>
      </c>
      <c r="T33" s="13">
        <v>21</v>
      </c>
      <c r="U33" s="13">
        <v>1600</v>
      </c>
      <c r="V33" s="13" t="s">
        <v>129</v>
      </c>
      <c r="W33" s="13">
        <v>5190</v>
      </c>
      <c r="X33" s="13" t="s">
        <v>130</v>
      </c>
      <c r="Y33" s="13" t="s">
        <v>131</v>
      </c>
      <c r="Z33" s="13" t="s"/>
      <c r="AA33" s="13" t="s"/>
      <c r="AB33" s="13" t="s"/>
      <c r="AC33" s="13" t="s"/>
      <c r="AD33" s="13" t="s">
        <v>130</v>
      </c>
      <c r="AE33" s="13" t="s">
        <v>130</v>
      </c>
      <c r="AF33" s="13">
        <v>0</v>
      </c>
      <c r="AG33" s="13">
        <v>0</v>
      </c>
      <c r="AH33" s="13">
        <v>0</v>
      </c>
      <c r="AI33" s="13" t="s"/>
      <c r="AJ33" s="13" t="s"/>
      <c r="AK33" s="13" t="s"/>
      <c r="AL33" s="13">
        <v>0</v>
      </c>
      <c r="AM33" s="13">
        <v>0</v>
      </c>
      <c r="AN33" s="13">
        <v>0</v>
      </c>
      <c r="AO33" s="13">
        <v>63.9</v>
      </c>
      <c r="AP33" s="13">
        <v>34</v>
      </c>
      <c r="AQ33" s="13">
        <v>46.77</v>
      </c>
      <c r="AR33" s="13">
        <v>339.79</v>
      </c>
      <c r="AS33" s="13">
        <v>25</v>
      </c>
      <c r="AT33" s="13">
        <v>43</v>
      </c>
      <c r="AU33" s="13">
        <v>10</v>
      </c>
      <c r="AV33" s="13">
        <v>30</v>
      </c>
      <c r="AW33" s="13">
        <v>81.34</v>
      </c>
      <c r="AX33" s="13">
        <v>81.34</v>
      </c>
      <c r="AY33" s="13">
        <v>25</v>
      </c>
      <c r="AZ33" s="13" t="s"/>
      <c r="BA33" s="13" t="s"/>
      <c r="BB33" s="1">
        <f>=IF(IF(BA33&lt;&gt;"",IF(AZ33&lt;&gt;"",CEILING(((AZ33-BA33)/AZ33)*100,1),IF(AND(O33&lt;&gt;"",O33&gt;0),CEILING((((O33-BA33)/O33)*100),1),"")),"")&gt;=0,IF(BA33&lt;&gt;"",IF(AZ33&lt;&gt;"",CEILING(((AZ33-BA33)/AZ33)*100,1),IF(AND(O33&lt;&gt;"",O33&gt;0),CEILING((((O33-BA33)/O33)*100),1),"")),""), "Ошибка: цена до скидки должна быть больше текущей.")</f>
      </c>
      <c r="BC33" s="13" t="s"/>
      <c r="BD33" s="13" t="s"/>
      <c r="BE33" s="13" t="s"/>
      <c r="BF33" s="13" t="s"/>
      <c r="BG33" s="13" t="s"/>
      <c r="BH33" s="13" t="s"/>
      <c r="BI33" s="13" t="s"/>
    </row>
    <row r="34" ht="20" customHeight="true">
      <c r="A34" s="13" t="s">
        <v>224</v>
      </c>
      <c r="B34" s="13">
        <v>1628350929</v>
      </c>
      <c r="C34" s="13" t="s">
        <v>225</v>
      </c>
      <c r="D34" s="13" t="s">
        <v>126</v>
      </c>
      <c r="E34" s="13" t="s">
        <v>127</v>
      </c>
      <c r="F34" s="13">
        <v>0</v>
      </c>
      <c r="G34" s="13">
        <v>0</v>
      </c>
      <c r="H34" s="13">
        <v>0.2</v>
      </c>
      <c r="I34" s="13">
        <v>0.1</v>
      </c>
      <c r="J34" s="13" t="s">
        <v>226</v>
      </c>
      <c r="K34" s="13">
        <v>0</v>
      </c>
      <c r="L34" s="13">
        <v>58</v>
      </c>
      <c r="M34" s="13">
        <v>0</v>
      </c>
      <c r="N34" s="13">
        <v>0</v>
      </c>
      <c r="O34" s="13">
        <v>21990</v>
      </c>
      <c r="P34" s="13">
        <v>14990</v>
      </c>
      <c r="Q34" s="13">
        <v>32</v>
      </c>
      <c r="R34" s="13">
        <v>7000</v>
      </c>
      <c r="S34" s="13">
        <v>11000</v>
      </c>
      <c r="T34" s="13">
        <v>50</v>
      </c>
      <c r="U34" s="13">
        <v>10990</v>
      </c>
      <c r="V34" s="13" t="s">
        <v>129</v>
      </c>
      <c r="W34" s="13">
        <v>7990</v>
      </c>
      <c r="X34" s="13" t="s">
        <v>130</v>
      </c>
      <c r="Y34" s="13" t="s">
        <v>131</v>
      </c>
      <c r="Z34" s="13" t="s"/>
      <c r="AA34" s="13" t="s"/>
      <c r="AB34" s="13" t="s"/>
      <c r="AC34" s="13" t="s"/>
      <c r="AD34" s="13" t="s">
        <v>130</v>
      </c>
      <c r="AE34" s="13" t="s">
        <v>130</v>
      </c>
      <c r="AF34" s="13">
        <v>0</v>
      </c>
      <c r="AG34" s="13">
        <v>0</v>
      </c>
      <c r="AH34" s="13">
        <v>0</v>
      </c>
      <c r="AI34" s="13" t="s"/>
      <c r="AJ34" s="13" t="s"/>
      <c r="AK34" s="13" t="s"/>
      <c r="AL34" s="13">
        <v>0</v>
      </c>
      <c r="AM34" s="13">
        <v>0</v>
      </c>
      <c r="AN34" s="13">
        <v>0</v>
      </c>
      <c r="AO34" s="13">
        <v>110</v>
      </c>
      <c r="AP34" s="13">
        <v>34</v>
      </c>
      <c r="AQ34" s="13">
        <v>46.77</v>
      </c>
      <c r="AR34" s="13">
        <v>524.19</v>
      </c>
      <c r="AS34" s="13">
        <v>25</v>
      </c>
      <c r="AT34" s="13">
        <v>43</v>
      </c>
      <c r="AU34" s="13">
        <v>10</v>
      </c>
      <c r="AV34" s="13">
        <v>30</v>
      </c>
      <c r="AW34" s="13">
        <v>81.34</v>
      </c>
      <c r="AX34" s="13">
        <v>81.34</v>
      </c>
      <c r="AY34" s="13">
        <v>25</v>
      </c>
      <c r="AZ34" s="13" t="s"/>
      <c r="BA34" s="13" t="s"/>
      <c r="BB34" s="1">
        <f>=IF(IF(BA34&lt;&gt;"",IF(AZ34&lt;&gt;"",CEILING(((AZ34-BA34)/AZ34)*100,1),IF(AND(O34&lt;&gt;"",O34&gt;0),CEILING((((O34-BA34)/O34)*100),1),"")),"")&gt;=0,IF(BA34&lt;&gt;"",IF(AZ34&lt;&gt;"",CEILING(((AZ34-BA34)/AZ34)*100,1),IF(AND(O34&lt;&gt;"",O34&gt;0),CEILING((((O34-BA34)/O34)*100),1),"")),""), "Ошибка: цена до скидки должна быть больше текущей.")</f>
      </c>
      <c r="BC34" s="13" t="s"/>
      <c r="BD34" s="13" t="s"/>
      <c r="BE34" s="13" t="s"/>
      <c r="BF34" s="13" t="s"/>
      <c r="BG34" s="13" t="s"/>
      <c r="BH34" s="13" t="s"/>
      <c r="BI34" s="13" t="s"/>
    </row>
    <row r="35" ht="20" customHeight="true">
      <c r="A35" s="13" t="s">
        <v>227</v>
      </c>
      <c r="B35" s="13">
        <v>1628351598</v>
      </c>
      <c r="C35" s="13" t="s">
        <v>228</v>
      </c>
      <c r="D35" s="13" t="s">
        <v>126</v>
      </c>
      <c r="E35" s="13" t="s">
        <v>127</v>
      </c>
      <c r="F35" s="13">
        <v>0</v>
      </c>
      <c r="G35" s="13">
        <v>0</v>
      </c>
      <c r="H35" s="13">
        <v>0.2</v>
      </c>
      <c r="I35" s="13">
        <v>0.1</v>
      </c>
      <c r="J35" s="13" t="s">
        <v>229</v>
      </c>
      <c r="K35" s="13">
        <v>0</v>
      </c>
      <c r="L35" s="13">
        <v>118</v>
      </c>
      <c r="M35" s="13">
        <v>0</v>
      </c>
      <c r="N35" s="13">
        <v>0</v>
      </c>
      <c r="O35" s="13">
        <v>15990</v>
      </c>
      <c r="P35" s="13">
        <v>9990</v>
      </c>
      <c r="Q35" s="13">
        <v>38</v>
      </c>
      <c r="R35" s="13">
        <v>6000</v>
      </c>
      <c r="S35" s="13">
        <v>5930</v>
      </c>
      <c r="T35" s="13">
        <v>63</v>
      </c>
      <c r="U35" s="13">
        <v>10060</v>
      </c>
      <c r="V35" s="13" t="s">
        <v>129</v>
      </c>
      <c r="W35" s="13">
        <v>5590</v>
      </c>
      <c r="X35" s="13" t="s">
        <v>130</v>
      </c>
      <c r="Y35" s="13" t="s">
        <v>131</v>
      </c>
      <c r="Z35" s="13" t="s"/>
      <c r="AA35" s="13" t="s"/>
      <c r="AB35" s="13" t="s"/>
      <c r="AC35" s="13" t="s"/>
      <c r="AD35" s="13" t="s">
        <v>130</v>
      </c>
      <c r="AE35" s="13" t="s">
        <v>130</v>
      </c>
      <c r="AF35" s="13">
        <v>0</v>
      </c>
      <c r="AG35" s="13">
        <v>0</v>
      </c>
      <c r="AH35" s="13">
        <v>0</v>
      </c>
      <c r="AI35" s="13" t="s"/>
      <c r="AJ35" s="13" t="s"/>
      <c r="AK35" s="13" t="s"/>
      <c r="AL35" s="13">
        <v>0</v>
      </c>
      <c r="AM35" s="13">
        <v>0</v>
      </c>
      <c r="AN35" s="13">
        <v>0</v>
      </c>
      <c r="AO35" s="13">
        <v>59.3</v>
      </c>
      <c r="AP35" s="13">
        <v>34</v>
      </c>
      <c r="AQ35" s="13">
        <v>46.77</v>
      </c>
      <c r="AR35" s="13">
        <v>321.39</v>
      </c>
      <c r="AS35" s="13">
        <v>25</v>
      </c>
      <c r="AT35" s="13">
        <v>43</v>
      </c>
      <c r="AU35" s="13">
        <v>10</v>
      </c>
      <c r="AV35" s="13">
        <v>30</v>
      </c>
      <c r="AW35" s="13">
        <v>81.34</v>
      </c>
      <c r="AX35" s="13">
        <v>81.34</v>
      </c>
      <c r="AY35" s="13">
        <v>25</v>
      </c>
      <c r="AZ35" s="13" t="s"/>
      <c r="BA35" s="13" t="s"/>
      <c r="BB35" s="1">
        <f>=IF(IF(BA35&lt;&gt;"",IF(AZ35&lt;&gt;"",CEILING(((AZ35-BA35)/AZ35)*100,1),IF(AND(O35&lt;&gt;"",O35&gt;0),CEILING((((O35-BA35)/O35)*100),1),"")),"")&gt;=0,IF(BA35&lt;&gt;"",IF(AZ35&lt;&gt;"",CEILING(((AZ35-BA35)/AZ35)*100,1),IF(AND(O35&lt;&gt;"",O35&gt;0),CEILING((((O35-BA35)/O35)*100),1),"")),""), "Ошибка: цена до скидки должна быть больше текущей.")</f>
      </c>
      <c r="BC35" s="13" t="s"/>
      <c r="BD35" s="13" t="s"/>
      <c r="BE35" s="13" t="s"/>
      <c r="BF35" s="13" t="s"/>
      <c r="BG35" s="13" t="s"/>
      <c r="BH35" s="13" t="s"/>
      <c r="BI35" s="13" t="s"/>
    </row>
    <row r="36" ht="20" customHeight="true">
      <c r="A36" s="13" t="s">
        <v>230</v>
      </c>
      <c r="B36" s="13">
        <v>1645540894</v>
      </c>
      <c r="C36" s="13" t="s">
        <v>231</v>
      </c>
      <c r="D36" s="13" t="s">
        <v>126</v>
      </c>
      <c r="E36" s="13" t="s">
        <v>127</v>
      </c>
      <c r="F36" s="13">
        <v>0</v>
      </c>
      <c r="G36" s="13">
        <v>0</v>
      </c>
      <c r="H36" s="13">
        <v>0.2</v>
      </c>
      <c r="I36" s="13">
        <v>0.1</v>
      </c>
      <c r="J36" s="13" t="s">
        <v>232</v>
      </c>
      <c r="K36" s="13">
        <v>0</v>
      </c>
      <c r="L36" s="13">
        <v>31</v>
      </c>
      <c r="M36" s="13">
        <v>0</v>
      </c>
      <c r="N36" s="13">
        <v>0</v>
      </c>
      <c r="O36" s="13">
        <v>11990</v>
      </c>
      <c r="P36" s="13">
        <v>6990</v>
      </c>
      <c r="Q36" s="13">
        <v>42</v>
      </c>
      <c r="R36" s="13">
        <v>5000</v>
      </c>
      <c r="S36" s="13">
        <v>6990</v>
      </c>
      <c r="T36" s="13">
        <v>42</v>
      </c>
      <c r="U36" s="13">
        <v>5000</v>
      </c>
      <c r="V36" s="13" t="s">
        <v>129</v>
      </c>
      <c r="W36" s="13" t="s"/>
      <c r="X36" s="13" t="s">
        <v>130</v>
      </c>
      <c r="Y36" s="13" t="s">
        <v>131</v>
      </c>
      <c r="Z36" s="13" t="s"/>
      <c r="AA36" s="13" t="s"/>
      <c r="AB36" s="13" t="s"/>
      <c r="AC36" s="13" t="s"/>
      <c r="AD36" s="13" t="s">
        <v>130</v>
      </c>
      <c r="AE36" s="13" t="s">
        <v>130</v>
      </c>
      <c r="AF36" s="13">
        <v>0</v>
      </c>
      <c r="AG36" s="13">
        <v>0</v>
      </c>
      <c r="AH36" s="13">
        <v>0</v>
      </c>
      <c r="AI36" s="13" t="s"/>
      <c r="AJ36" s="13" t="s"/>
      <c r="AK36" s="13" t="s"/>
      <c r="AL36" s="13">
        <v>0</v>
      </c>
      <c r="AM36" s="13">
        <v>0</v>
      </c>
      <c r="AN36" s="13">
        <v>0</v>
      </c>
      <c r="AO36" s="13">
        <v>69.9</v>
      </c>
      <c r="AP36" s="13">
        <v>34</v>
      </c>
      <c r="AQ36" s="13">
        <v>46.77</v>
      </c>
      <c r="AR36" s="13">
        <v>363.79</v>
      </c>
      <c r="AS36" s="13">
        <v>25</v>
      </c>
      <c r="AT36" s="13">
        <v>43</v>
      </c>
      <c r="AU36" s="13">
        <v>10</v>
      </c>
      <c r="AV36" s="13">
        <v>30</v>
      </c>
      <c r="AW36" s="13">
        <v>81.34</v>
      </c>
      <c r="AX36" s="13">
        <v>81.34</v>
      </c>
      <c r="AY36" s="13">
        <v>25</v>
      </c>
      <c r="AZ36" s="13" t="s"/>
      <c r="BA36" s="13" t="s"/>
      <c r="BB36" s="1">
        <f>=IF(IF(BA36&lt;&gt;"",IF(AZ36&lt;&gt;"",CEILING(((AZ36-BA36)/AZ36)*100,1),IF(AND(O36&lt;&gt;"",O36&gt;0),CEILING((((O36-BA36)/O36)*100),1),"")),"")&gt;=0,IF(BA36&lt;&gt;"",IF(AZ36&lt;&gt;"",CEILING(((AZ36-BA36)/AZ36)*100,1),IF(AND(O36&lt;&gt;"",O36&gt;0),CEILING((((O36-BA36)/O36)*100),1),"")),""), "Ошибка: цена до скидки должна быть больше текущей.")</f>
      </c>
      <c r="BC36" s="13" t="s"/>
      <c r="BD36" s="13" t="s"/>
      <c r="BE36" s="13" t="s"/>
      <c r="BF36" s="13" t="s"/>
      <c r="BG36" s="13" t="s"/>
      <c r="BH36" s="13" t="s"/>
      <c r="BI36" s="13" t="s"/>
    </row>
    <row r="37" ht="20" customHeight="true">
      <c r="A37" s="13" t="s">
        <v>233</v>
      </c>
      <c r="B37" s="13">
        <v>1645582979</v>
      </c>
      <c r="C37" s="13" t="s">
        <v>234</v>
      </c>
      <c r="D37" s="13" t="s">
        <v>134</v>
      </c>
      <c r="E37" s="13" t="s">
        <v>127</v>
      </c>
      <c r="F37" s="13">
        <v>2</v>
      </c>
      <c r="G37" s="13">
        <v>27</v>
      </c>
      <c r="H37" s="13">
        <v>0.924</v>
      </c>
      <c r="I37" s="13">
        <v>0.2</v>
      </c>
      <c r="J37" s="13" t="s">
        <v>235</v>
      </c>
      <c r="K37" s="13">
        <v>1900</v>
      </c>
      <c r="L37" s="13">
        <v>2628</v>
      </c>
      <c r="M37" s="13">
        <v>0.04</v>
      </c>
      <c r="N37" s="13">
        <v>1</v>
      </c>
      <c r="O37" s="13">
        <v>4290</v>
      </c>
      <c r="P37" s="13">
        <v>2300</v>
      </c>
      <c r="Q37" s="13">
        <v>47</v>
      </c>
      <c r="R37" s="13">
        <v>1990</v>
      </c>
      <c r="S37" s="13">
        <v>1700</v>
      </c>
      <c r="T37" s="13">
        <v>71</v>
      </c>
      <c r="U37" s="13">
        <v>3026</v>
      </c>
      <c r="V37" s="13" t="s">
        <v>129</v>
      </c>
      <c r="W37" s="13">
        <v>1888</v>
      </c>
      <c r="X37" s="13" t="s">
        <v>130</v>
      </c>
      <c r="Y37" s="13" t="s">
        <v>131</v>
      </c>
      <c r="Z37" s="13" t="s"/>
      <c r="AA37" s="13" t="s"/>
      <c r="AB37" s="13" t="s"/>
      <c r="AC37" s="13" t="s"/>
      <c r="AD37" s="13" t="s">
        <v>130</v>
      </c>
      <c r="AE37" s="13" t="s">
        <v>130</v>
      </c>
      <c r="AF37" s="13">
        <v>0</v>
      </c>
      <c r="AG37" s="13">
        <v>0</v>
      </c>
      <c r="AH37" s="13">
        <v>0</v>
      </c>
      <c r="AI37" s="13" t="s"/>
      <c r="AJ37" s="13" t="s"/>
      <c r="AK37" s="13" t="s"/>
      <c r="AL37" s="13">
        <v>0</v>
      </c>
      <c r="AM37" s="13">
        <v>0</v>
      </c>
      <c r="AN37" s="13">
        <v>0</v>
      </c>
      <c r="AO37" s="13">
        <v>17</v>
      </c>
      <c r="AP37" s="13">
        <v>34</v>
      </c>
      <c r="AQ37" s="13">
        <v>46.77</v>
      </c>
      <c r="AR37" s="13">
        <v>152.19</v>
      </c>
      <c r="AS37" s="13">
        <v>25</v>
      </c>
      <c r="AT37" s="13">
        <v>43</v>
      </c>
      <c r="AU37" s="13">
        <v>10</v>
      </c>
      <c r="AV37" s="13">
        <v>30</v>
      </c>
      <c r="AW37" s="13">
        <v>81.34</v>
      </c>
      <c r="AX37" s="13">
        <v>81.34</v>
      </c>
      <c r="AY37" s="13">
        <v>25</v>
      </c>
      <c r="AZ37" s="13" t="s"/>
      <c r="BA37" s="13" t="s"/>
      <c r="BB37" s="1">
        <f>=IF(IF(BA37&lt;&gt;"",IF(AZ37&lt;&gt;"",CEILING(((AZ37-BA37)/AZ37)*100,1),IF(AND(O37&lt;&gt;"",O37&gt;0),CEILING((((O37-BA37)/O37)*100),1),"")),"")&gt;=0,IF(BA37&lt;&gt;"",IF(AZ37&lt;&gt;"",CEILING(((AZ37-BA37)/AZ37)*100,1),IF(AND(O37&lt;&gt;"",O37&gt;0),CEILING((((O37-BA37)/O37)*100),1),"")),""), "Ошибка: цена до скидки должна быть больше текущей.")</f>
      </c>
      <c r="BC37" s="13" t="s"/>
      <c r="BD37" s="13" t="s"/>
      <c r="BE37" s="13" t="s"/>
      <c r="BF37" s="13" t="s"/>
      <c r="BG37" s="13" t="s"/>
      <c r="BH37" s="13" t="s"/>
      <c r="BI37" s="13" t="s"/>
    </row>
    <row r="38" ht="20" customHeight="true">
      <c r="A38" s="13" t="s">
        <v>236</v>
      </c>
      <c r="B38" s="13">
        <v>1647057368</v>
      </c>
      <c r="C38" s="13" t="s">
        <v>237</v>
      </c>
      <c r="D38" s="13" t="s">
        <v>126</v>
      </c>
      <c r="E38" s="13" t="s">
        <v>127</v>
      </c>
      <c r="F38" s="13">
        <v>0</v>
      </c>
      <c r="G38" s="13">
        <v>0</v>
      </c>
      <c r="H38" s="13">
        <v>0.2</v>
      </c>
      <c r="I38" s="13">
        <v>0.1</v>
      </c>
      <c r="J38" s="13" t="s">
        <v>238</v>
      </c>
      <c r="K38" s="13">
        <v>0</v>
      </c>
      <c r="L38" s="13">
        <v>14</v>
      </c>
      <c r="M38" s="13">
        <v>0</v>
      </c>
      <c r="N38" s="13">
        <v>0</v>
      </c>
      <c r="O38" s="13">
        <v>6990</v>
      </c>
      <c r="P38" s="13">
        <v>3290</v>
      </c>
      <c r="Q38" s="13">
        <v>53</v>
      </c>
      <c r="R38" s="13">
        <v>3700</v>
      </c>
      <c r="S38" s="13">
        <v>3290</v>
      </c>
      <c r="T38" s="13">
        <v>53</v>
      </c>
      <c r="U38" s="13">
        <v>3700</v>
      </c>
      <c r="V38" s="13" t="s">
        <v>129</v>
      </c>
      <c r="W38" s="13" t="s"/>
      <c r="X38" s="13" t="s">
        <v>130</v>
      </c>
      <c r="Y38" s="13" t="s">
        <v>131</v>
      </c>
      <c r="Z38" s="13" t="s"/>
      <c r="AA38" s="13" t="s"/>
      <c r="AB38" s="13" t="s"/>
      <c r="AC38" s="13" t="s"/>
      <c r="AD38" s="13" t="s">
        <v>130</v>
      </c>
      <c r="AE38" s="13" t="s">
        <v>130</v>
      </c>
      <c r="AF38" s="13">
        <v>0</v>
      </c>
      <c r="AG38" s="13">
        <v>0</v>
      </c>
      <c r="AH38" s="13">
        <v>0</v>
      </c>
      <c r="AI38" s="13" t="s"/>
      <c r="AJ38" s="13" t="s"/>
      <c r="AK38" s="13" t="s"/>
      <c r="AL38" s="13">
        <v>0</v>
      </c>
      <c r="AM38" s="13">
        <v>0</v>
      </c>
      <c r="AN38" s="13">
        <v>0</v>
      </c>
      <c r="AO38" s="13">
        <v>32.9</v>
      </c>
      <c r="AP38" s="13">
        <v>32</v>
      </c>
      <c r="AQ38" s="13">
        <v>46.77</v>
      </c>
      <c r="AR38" s="13">
        <v>215.79</v>
      </c>
      <c r="AS38" s="13">
        <v>25</v>
      </c>
      <c r="AT38" s="13">
        <v>41</v>
      </c>
      <c r="AU38" s="13">
        <v>10</v>
      </c>
      <c r="AV38" s="13">
        <v>30</v>
      </c>
      <c r="AW38" s="13">
        <v>81.34</v>
      </c>
      <c r="AX38" s="13">
        <v>81.34</v>
      </c>
      <c r="AY38" s="13">
        <v>25</v>
      </c>
      <c r="AZ38" s="13" t="s"/>
      <c r="BA38" s="13" t="s"/>
      <c r="BB38" s="1">
        <f>=IF(IF(BA38&lt;&gt;"",IF(AZ38&lt;&gt;"",CEILING(((AZ38-BA38)/AZ38)*100,1),IF(AND(O38&lt;&gt;"",O38&gt;0),CEILING((((O38-BA38)/O38)*100),1),"")),"")&gt;=0,IF(BA38&lt;&gt;"",IF(AZ38&lt;&gt;"",CEILING(((AZ38-BA38)/AZ38)*100,1),IF(AND(O38&lt;&gt;"",O38&gt;0),CEILING((((O38-BA38)/O38)*100),1),"")),""), "Ошибка: цена до скидки должна быть больше текущей.")</f>
      </c>
      <c r="BC38" s="13" t="s"/>
      <c r="BD38" s="13" t="s"/>
      <c r="BE38" s="13" t="s"/>
      <c r="BF38" s="13" t="s"/>
      <c r="BG38" s="13" t="s"/>
      <c r="BH38" s="13" t="s"/>
      <c r="BI38" s="13" t="s"/>
    </row>
    <row r="39" ht="20" customHeight="true">
      <c r="A39" s="13" t="s">
        <v>239</v>
      </c>
      <c r="B39" s="13">
        <v>1749771634</v>
      </c>
      <c r="C39" s="13" t="s">
        <v>240</v>
      </c>
      <c r="D39" s="13" t="s">
        <v>126</v>
      </c>
      <c r="E39" s="13" t="s">
        <v>127</v>
      </c>
      <c r="F39" s="13">
        <v>0</v>
      </c>
      <c r="G39" s="13">
        <v>0</v>
      </c>
      <c r="H39" s="13">
        <v>0.2</v>
      </c>
      <c r="I39" s="13">
        <v>0.1</v>
      </c>
      <c r="J39" s="13" t="s">
        <v>241</v>
      </c>
      <c r="K39" s="13">
        <v>0</v>
      </c>
      <c r="L39" s="13">
        <v>24</v>
      </c>
      <c r="M39" s="13">
        <v>0</v>
      </c>
      <c r="N39" s="13">
        <v>0</v>
      </c>
      <c r="O39" s="13">
        <v>9950</v>
      </c>
      <c r="P39" s="13">
        <v>3301</v>
      </c>
      <c r="Q39" s="13">
        <v>67</v>
      </c>
      <c r="R39" s="13">
        <v>6649</v>
      </c>
      <c r="S39" s="13">
        <v>1400</v>
      </c>
      <c r="T39" s="13">
        <v>90</v>
      </c>
      <c r="U39" s="13">
        <v>8929</v>
      </c>
      <c r="V39" s="13" t="s">
        <v>129</v>
      </c>
      <c r="W39" s="13">
        <v>3290</v>
      </c>
      <c r="X39" s="13" t="s">
        <v>130</v>
      </c>
      <c r="Y39" s="13" t="s">
        <v>131</v>
      </c>
      <c r="Z39" s="13" t="s"/>
      <c r="AA39" s="13" t="s"/>
      <c r="AB39" s="13" t="s"/>
      <c r="AC39" s="13" t="s"/>
      <c r="AD39" s="13" t="s">
        <v>130</v>
      </c>
      <c r="AE39" s="13" t="s">
        <v>130</v>
      </c>
      <c r="AF39" s="13">
        <v>0</v>
      </c>
      <c r="AG39" s="13">
        <v>0</v>
      </c>
      <c r="AH39" s="13">
        <v>0</v>
      </c>
      <c r="AI39" s="13" t="s"/>
      <c r="AJ39" s="13" t="s"/>
      <c r="AK39" s="13" t="s"/>
      <c r="AL39" s="13">
        <v>0</v>
      </c>
      <c r="AM39" s="13">
        <v>0</v>
      </c>
      <c r="AN39" s="13">
        <v>0</v>
      </c>
      <c r="AO39" s="13">
        <v>14</v>
      </c>
      <c r="AP39" s="13">
        <v>34</v>
      </c>
      <c r="AQ39" s="13">
        <v>46.77</v>
      </c>
      <c r="AR39" s="13">
        <v>140.19</v>
      </c>
      <c r="AS39" s="13">
        <v>25</v>
      </c>
      <c r="AT39" s="13">
        <v>43</v>
      </c>
      <c r="AU39" s="13">
        <v>10</v>
      </c>
      <c r="AV39" s="13">
        <v>30</v>
      </c>
      <c r="AW39" s="13">
        <v>81.34</v>
      </c>
      <c r="AX39" s="13">
        <v>81.34</v>
      </c>
      <c r="AY39" s="13">
        <v>25</v>
      </c>
      <c r="AZ39" s="13" t="s"/>
      <c r="BA39" s="13" t="s"/>
      <c r="BB39" s="1">
        <f>=IF(IF(BA39&lt;&gt;"",IF(AZ39&lt;&gt;"",CEILING(((AZ39-BA39)/AZ39)*100,1),IF(AND(O39&lt;&gt;"",O39&gt;0),CEILING((((O39-BA39)/O39)*100),1),"")),"")&gt;=0,IF(BA39&lt;&gt;"",IF(AZ39&lt;&gt;"",CEILING(((AZ39-BA39)/AZ39)*100,1),IF(AND(O39&lt;&gt;"",O39&gt;0),CEILING((((O39-BA39)/O39)*100),1),"")),""), "Ошибка: цена до скидки должна быть больше текущей.")</f>
      </c>
      <c r="BC39" s="13" t="s"/>
      <c r="BD39" s="13" t="s"/>
      <c r="BE39" s="13" t="s"/>
      <c r="BF39" s="13" t="s"/>
      <c r="BG39" s="13" t="s"/>
      <c r="BH39" s="13" t="s"/>
      <c r="BI39" s="13" t="s"/>
    </row>
    <row r="40" ht="20" customHeight="true">
      <c r="A40" s="13" t="s">
        <v>242</v>
      </c>
      <c r="B40" s="13">
        <v>1750567115</v>
      </c>
      <c r="C40" s="13" t="s">
        <v>243</v>
      </c>
      <c r="D40" s="13" t="s">
        <v>126</v>
      </c>
      <c r="E40" s="13" t="s">
        <v>127</v>
      </c>
      <c r="F40" s="13">
        <v>0</v>
      </c>
      <c r="G40" s="13">
        <v>0</v>
      </c>
      <c r="H40" s="13">
        <v>0.2</v>
      </c>
      <c r="I40" s="13">
        <v>0.1</v>
      </c>
      <c r="J40" s="13" t="s">
        <v>244</v>
      </c>
      <c r="K40" s="13">
        <v>0</v>
      </c>
      <c r="L40" s="13">
        <v>10</v>
      </c>
      <c r="M40" s="13">
        <v>0</v>
      </c>
      <c r="N40" s="13">
        <v>0</v>
      </c>
      <c r="O40" s="13">
        <v>9950</v>
      </c>
      <c r="P40" s="13">
        <v>3370</v>
      </c>
      <c r="Q40" s="13">
        <v>67</v>
      </c>
      <c r="R40" s="13">
        <v>6580</v>
      </c>
      <c r="S40" s="13">
        <v>3370</v>
      </c>
      <c r="T40" s="13">
        <v>67</v>
      </c>
      <c r="U40" s="13">
        <v>6580</v>
      </c>
      <c r="V40" s="13" t="s">
        <v>129</v>
      </c>
      <c r="W40" s="13">
        <v>3260</v>
      </c>
      <c r="X40" s="13" t="s">
        <v>130</v>
      </c>
      <c r="Y40" s="13" t="s">
        <v>131</v>
      </c>
      <c r="Z40" s="13" t="s"/>
      <c r="AA40" s="13" t="s"/>
      <c r="AB40" s="13" t="s"/>
      <c r="AC40" s="13" t="s"/>
      <c r="AD40" s="13" t="s">
        <v>130</v>
      </c>
      <c r="AE40" s="13" t="s">
        <v>130</v>
      </c>
      <c r="AF40" s="13">
        <v>0</v>
      </c>
      <c r="AG40" s="13">
        <v>0</v>
      </c>
      <c r="AH40" s="13">
        <v>0</v>
      </c>
      <c r="AI40" s="13" t="s"/>
      <c r="AJ40" s="13" t="s"/>
      <c r="AK40" s="13" t="s"/>
      <c r="AL40" s="13">
        <v>0</v>
      </c>
      <c r="AM40" s="13">
        <v>0</v>
      </c>
      <c r="AN40" s="13">
        <v>0</v>
      </c>
      <c r="AO40" s="13">
        <v>33.7</v>
      </c>
      <c r="AP40" s="13">
        <v>34</v>
      </c>
      <c r="AQ40" s="13">
        <v>46.77</v>
      </c>
      <c r="AR40" s="13">
        <v>218.99</v>
      </c>
      <c r="AS40" s="13">
        <v>25</v>
      </c>
      <c r="AT40" s="13">
        <v>43</v>
      </c>
      <c r="AU40" s="13">
        <v>10</v>
      </c>
      <c r="AV40" s="13">
        <v>30</v>
      </c>
      <c r="AW40" s="13">
        <v>81.34</v>
      </c>
      <c r="AX40" s="13">
        <v>81.34</v>
      </c>
      <c r="AY40" s="13">
        <v>25</v>
      </c>
      <c r="AZ40" s="13" t="s"/>
      <c r="BA40" s="13" t="s"/>
      <c r="BB40" s="1">
        <f>=IF(IF(BA40&lt;&gt;"",IF(AZ40&lt;&gt;"",CEILING(((AZ40-BA40)/AZ40)*100,1),IF(AND(O40&lt;&gt;"",O40&gt;0),CEILING((((O40-BA40)/O40)*100),1),"")),"")&gt;=0,IF(BA40&lt;&gt;"",IF(AZ40&lt;&gt;"",CEILING(((AZ40-BA40)/AZ40)*100,1),IF(AND(O40&lt;&gt;"",O40&gt;0),CEILING((((O40-BA40)/O40)*100),1),"")),""), "Ошибка: цена до скидки должна быть больше текущей.")</f>
      </c>
      <c r="BC40" s="13" t="s"/>
      <c r="BD40" s="13" t="s"/>
      <c r="BE40" s="13" t="s"/>
      <c r="BF40" s="13" t="s"/>
      <c r="BG40" s="13" t="s"/>
      <c r="BH40" s="13" t="s"/>
      <c r="BI40" s="13" t="s"/>
    </row>
    <row r="41" ht="20" customHeight="true">
      <c r="A41" s="13" t="s">
        <v>245</v>
      </c>
      <c r="B41" s="13">
        <v>1750615465</v>
      </c>
      <c r="C41" s="13" t="s">
        <v>246</v>
      </c>
      <c r="D41" s="13" t="s">
        <v>143</v>
      </c>
      <c r="E41" s="13" t="s">
        <v>144</v>
      </c>
      <c r="F41" s="13">
        <v>339</v>
      </c>
      <c r="G41" s="13">
        <v>0</v>
      </c>
      <c r="H41" s="13">
        <v>0.225</v>
      </c>
      <c r="I41" s="13">
        <v>0.1</v>
      </c>
      <c r="J41" s="13" t="s">
        <v>247</v>
      </c>
      <c r="K41" s="13">
        <v>0</v>
      </c>
      <c r="L41" s="13">
        <v>10</v>
      </c>
      <c r="M41" s="13">
        <v>0</v>
      </c>
      <c r="N41" s="13">
        <v>0</v>
      </c>
      <c r="O41" s="13">
        <v>7950</v>
      </c>
      <c r="P41" s="13">
        <v>3660</v>
      </c>
      <c r="Q41" s="13">
        <v>54</v>
      </c>
      <c r="R41" s="13">
        <v>4290</v>
      </c>
      <c r="S41" s="13">
        <v>3660</v>
      </c>
      <c r="T41" s="13">
        <v>54</v>
      </c>
      <c r="U41" s="13">
        <v>4290</v>
      </c>
      <c r="V41" s="13" t="s">
        <v>129</v>
      </c>
      <c r="W41" s="13">
        <v>2700</v>
      </c>
      <c r="X41" s="13" t="s">
        <v>130</v>
      </c>
      <c r="Y41" s="13" t="s">
        <v>131</v>
      </c>
      <c r="Z41" s="13" t="s"/>
      <c r="AA41" s="13" t="s"/>
      <c r="AB41" s="13" t="s"/>
      <c r="AC41" s="13" t="s"/>
      <c r="AD41" s="13" t="s">
        <v>130</v>
      </c>
      <c r="AE41" s="13" t="s">
        <v>130</v>
      </c>
      <c r="AF41" s="13">
        <v>0</v>
      </c>
      <c r="AG41" s="13">
        <v>864</v>
      </c>
      <c r="AH41" s="13">
        <v>864</v>
      </c>
      <c r="AI41" s="13" t="s">
        <v>213</v>
      </c>
      <c r="AJ41" s="13" t="s">
        <v>213</v>
      </c>
      <c r="AK41" s="13" t="s">
        <v>137</v>
      </c>
      <c r="AL41" s="13">
        <v>0</v>
      </c>
      <c r="AM41" s="13">
        <v>1.76</v>
      </c>
      <c r="AN41" s="13">
        <v>1.76</v>
      </c>
      <c r="AO41" s="13">
        <v>36.6</v>
      </c>
      <c r="AP41" s="13">
        <v>34</v>
      </c>
      <c r="AQ41" s="13">
        <v>46.77</v>
      </c>
      <c r="AR41" s="13">
        <v>230.59</v>
      </c>
      <c r="AS41" s="13">
        <v>25</v>
      </c>
      <c r="AT41" s="13">
        <v>43</v>
      </c>
      <c r="AU41" s="13">
        <v>10</v>
      </c>
      <c r="AV41" s="13">
        <v>30</v>
      </c>
      <c r="AW41" s="13">
        <v>81.34</v>
      </c>
      <c r="AX41" s="13">
        <v>81.34</v>
      </c>
      <c r="AY41" s="13">
        <v>25</v>
      </c>
      <c r="AZ41" s="13" t="s"/>
      <c r="BA41" s="13" t="s"/>
      <c r="BB41" s="1">
        <f>=IF(IF(BA41&lt;&gt;"",IF(AZ41&lt;&gt;"",CEILING(((AZ41-BA41)/AZ41)*100,1),IF(AND(O41&lt;&gt;"",O41&gt;0),CEILING((((O41-BA41)/O41)*100),1),"")),"")&gt;=0,IF(BA41&lt;&gt;"",IF(AZ41&lt;&gt;"",CEILING(((AZ41-BA41)/AZ41)*100,1),IF(AND(O41&lt;&gt;"",O41&gt;0),CEILING((((O41-BA41)/O41)*100),1),"")),""), "Ошибка: цена до скидки должна быть больше текущей.")</f>
      </c>
      <c r="BC41" s="13" t="s"/>
      <c r="BD41" s="13" t="s"/>
      <c r="BE41" s="13" t="s"/>
      <c r="BF41" s="13" t="s"/>
      <c r="BG41" s="13" t="s"/>
      <c r="BH41" s="13" t="s"/>
      <c r="BI41" s="13" t="s"/>
    </row>
    <row r="42" ht="20" customHeight="true">
      <c r="A42" s="13" t="s">
        <v>248</v>
      </c>
      <c r="B42" s="13">
        <v>1750716206</v>
      </c>
      <c r="C42" s="13" t="s">
        <v>249</v>
      </c>
      <c r="D42" s="13" t="s">
        <v>126</v>
      </c>
      <c r="E42" s="13" t="s">
        <v>127</v>
      </c>
      <c r="F42" s="13">
        <v>0</v>
      </c>
      <c r="G42" s="13">
        <v>0</v>
      </c>
      <c r="H42" s="13">
        <v>0.2</v>
      </c>
      <c r="I42" s="13">
        <v>0.1</v>
      </c>
      <c r="J42" s="13" t="s">
        <v>250</v>
      </c>
      <c r="K42" s="13">
        <v>0</v>
      </c>
      <c r="L42" s="13">
        <v>17</v>
      </c>
      <c r="M42" s="13">
        <v>0</v>
      </c>
      <c r="N42" s="13">
        <v>0</v>
      </c>
      <c r="O42" s="13">
        <v>15990</v>
      </c>
      <c r="P42" s="13">
        <v>11350</v>
      </c>
      <c r="Q42" s="13">
        <v>30</v>
      </c>
      <c r="R42" s="13">
        <v>4640</v>
      </c>
      <c r="S42" s="13">
        <v>5000</v>
      </c>
      <c r="T42" s="13">
        <v>69</v>
      </c>
      <c r="U42" s="13">
        <v>10990</v>
      </c>
      <c r="V42" s="13" t="s">
        <v>129</v>
      </c>
      <c r="W42" s="13">
        <v>8000</v>
      </c>
      <c r="X42" s="13" t="s">
        <v>130</v>
      </c>
      <c r="Y42" s="13" t="s">
        <v>131</v>
      </c>
      <c r="Z42" s="13" t="s"/>
      <c r="AA42" s="13" t="s"/>
      <c r="AB42" s="13" t="s"/>
      <c r="AC42" s="13" t="s"/>
      <c r="AD42" s="13" t="s">
        <v>130</v>
      </c>
      <c r="AE42" s="13" t="s">
        <v>130</v>
      </c>
      <c r="AF42" s="13">
        <v>0</v>
      </c>
      <c r="AG42" s="13">
        <v>0</v>
      </c>
      <c r="AH42" s="13">
        <v>0</v>
      </c>
      <c r="AI42" s="13" t="s"/>
      <c r="AJ42" s="13" t="s"/>
      <c r="AK42" s="13" t="s"/>
      <c r="AL42" s="13">
        <v>0</v>
      </c>
      <c r="AM42" s="13">
        <v>0</v>
      </c>
      <c r="AN42" s="13">
        <v>0</v>
      </c>
      <c r="AO42" s="13">
        <v>50</v>
      </c>
      <c r="AP42" s="13">
        <v>34</v>
      </c>
      <c r="AQ42" s="13">
        <v>46.77</v>
      </c>
      <c r="AR42" s="13">
        <v>284.19</v>
      </c>
      <c r="AS42" s="13">
        <v>25</v>
      </c>
      <c r="AT42" s="13">
        <v>43</v>
      </c>
      <c r="AU42" s="13">
        <v>10</v>
      </c>
      <c r="AV42" s="13">
        <v>30</v>
      </c>
      <c r="AW42" s="13">
        <v>81.34</v>
      </c>
      <c r="AX42" s="13">
        <v>81.34</v>
      </c>
      <c r="AY42" s="13">
        <v>25</v>
      </c>
      <c r="AZ42" s="13" t="s"/>
      <c r="BA42" s="13" t="s"/>
      <c r="BB42" s="1">
        <f>=IF(IF(BA42&lt;&gt;"",IF(AZ42&lt;&gt;"",CEILING(((AZ42-BA42)/AZ42)*100,1),IF(AND(O42&lt;&gt;"",O42&gt;0),CEILING((((O42-BA42)/O42)*100),1),"")),"")&gt;=0,IF(BA42&lt;&gt;"",IF(AZ42&lt;&gt;"",CEILING(((AZ42-BA42)/AZ42)*100,1),IF(AND(O42&lt;&gt;"",O42&gt;0),CEILING((((O42-BA42)/O42)*100),1),"")),""), "Ошибка: цена до скидки должна быть больше текущей.")</f>
      </c>
      <c r="BC42" s="13" t="s"/>
      <c r="BD42" s="13" t="s"/>
      <c r="BE42" s="13" t="s"/>
      <c r="BF42" s="13" t="s"/>
      <c r="BG42" s="13" t="s"/>
      <c r="BH42" s="13" t="s"/>
      <c r="BI42" s="13" t="s"/>
    </row>
    <row r="43" ht="20" customHeight="true">
      <c r="A43" s="13" t="s">
        <v>251</v>
      </c>
      <c r="B43" s="13">
        <v>1756723303</v>
      </c>
      <c r="C43" s="13" t="s">
        <v>252</v>
      </c>
      <c r="D43" s="13" t="s">
        <v>126</v>
      </c>
      <c r="E43" s="13" t="s">
        <v>127</v>
      </c>
      <c r="F43" s="13">
        <v>0</v>
      </c>
      <c r="G43" s="13">
        <v>0</v>
      </c>
      <c r="H43" s="13">
        <v>0.2</v>
      </c>
      <c r="I43" s="13">
        <v>0.1</v>
      </c>
      <c r="J43" s="13" t="s">
        <v>253</v>
      </c>
      <c r="K43" s="13">
        <v>0</v>
      </c>
      <c r="L43" s="13">
        <v>24</v>
      </c>
      <c r="M43" s="13">
        <v>0</v>
      </c>
      <c r="N43" s="13">
        <v>0</v>
      </c>
      <c r="O43" s="13">
        <v>5950</v>
      </c>
      <c r="P43" s="13">
        <v>2260</v>
      </c>
      <c r="Q43" s="13">
        <v>63</v>
      </c>
      <c r="R43" s="13">
        <v>3690</v>
      </c>
      <c r="S43" s="13">
        <v>1880</v>
      </c>
      <c r="T43" s="13">
        <v>69</v>
      </c>
      <c r="U43" s="13">
        <v>4070</v>
      </c>
      <c r="V43" s="13" t="s">
        <v>129</v>
      </c>
      <c r="W43" s="13" t="s"/>
      <c r="X43" s="13" t="s">
        <v>130</v>
      </c>
      <c r="Y43" s="13" t="s">
        <v>131</v>
      </c>
      <c r="Z43" s="13" t="s"/>
      <c r="AA43" s="13" t="s"/>
      <c r="AB43" s="13" t="s"/>
      <c r="AC43" s="13" t="s"/>
      <c r="AD43" s="13" t="s">
        <v>130</v>
      </c>
      <c r="AE43" s="13" t="s">
        <v>130</v>
      </c>
      <c r="AF43" s="13">
        <v>0</v>
      </c>
      <c r="AG43" s="13">
        <v>0</v>
      </c>
      <c r="AH43" s="13">
        <v>0</v>
      </c>
      <c r="AI43" s="13" t="s"/>
      <c r="AJ43" s="13" t="s"/>
      <c r="AK43" s="13" t="s"/>
      <c r="AL43" s="13">
        <v>0</v>
      </c>
      <c r="AM43" s="13">
        <v>0</v>
      </c>
      <c r="AN43" s="13">
        <v>0</v>
      </c>
      <c r="AO43" s="13">
        <v>18.8</v>
      </c>
      <c r="AP43" s="13">
        <v>34</v>
      </c>
      <c r="AQ43" s="13">
        <v>46.77</v>
      </c>
      <c r="AR43" s="13">
        <v>159.39</v>
      </c>
      <c r="AS43" s="13">
        <v>25</v>
      </c>
      <c r="AT43" s="13">
        <v>43</v>
      </c>
      <c r="AU43" s="13">
        <v>10</v>
      </c>
      <c r="AV43" s="13">
        <v>30</v>
      </c>
      <c r="AW43" s="13">
        <v>81.34</v>
      </c>
      <c r="AX43" s="13">
        <v>81.34</v>
      </c>
      <c r="AY43" s="13">
        <v>25</v>
      </c>
      <c r="AZ43" s="13" t="s"/>
      <c r="BA43" s="13" t="s"/>
      <c r="BB43" s="1">
        <f>=IF(IF(BA43&lt;&gt;"",IF(AZ43&lt;&gt;"",CEILING(((AZ43-BA43)/AZ43)*100,1),IF(AND(O43&lt;&gt;"",O43&gt;0),CEILING((((O43-BA43)/O43)*100),1),"")),"")&gt;=0,IF(BA43&lt;&gt;"",IF(AZ43&lt;&gt;"",CEILING(((AZ43-BA43)/AZ43)*100,1),IF(AND(O43&lt;&gt;"",O43&gt;0),CEILING((((O43-BA43)/O43)*100),1),"")),""), "Ошибка: цена до скидки должна быть больше текущей.")</f>
      </c>
      <c r="BC43" s="13" t="s"/>
      <c r="BD43" s="13" t="s"/>
      <c r="BE43" s="13" t="s"/>
      <c r="BF43" s="13" t="s"/>
      <c r="BG43" s="13" t="s"/>
      <c r="BH43" s="13" t="s"/>
      <c r="BI43" s="13" t="s"/>
    </row>
    <row r="44" ht="20" customHeight="true">
      <c r="A44" s="13" t="s">
        <v>254</v>
      </c>
      <c r="B44" s="13">
        <v>1761001944</v>
      </c>
      <c r="C44" s="13" t="s">
        <v>255</v>
      </c>
      <c r="D44" s="13" t="s">
        <v>126</v>
      </c>
      <c r="E44" s="13" t="s">
        <v>127</v>
      </c>
      <c r="F44" s="13">
        <v>0</v>
      </c>
      <c r="G44" s="13">
        <v>0</v>
      </c>
      <c r="H44" s="13">
        <v>0.924</v>
      </c>
      <c r="I44" s="13">
        <v>0.2</v>
      </c>
      <c r="J44" s="13" t="s">
        <v>256</v>
      </c>
      <c r="K44" s="13">
        <v>0</v>
      </c>
      <c r="L44" s="13">
        <v>102</v>
      </c>
      <c r="M44" s="13">
        <v>0</v>
      </c>
      <c r="N44" s="13">
        <v>0</v>
      </c>
      <c r="O44" s="13">
        <v>0</v>
      </c>
      <c r="P44" s="13">
        <v>3660</v>
      </c>
      <c r="Q44" s="13">
        <v>0</v>
      </c>
      <c r="R44" s="13">
        <v>0</v>
      </c>
      <c r="S44" s="13">
        <v>1500</v>
      </c>
      <c r="T44" s="13">
        <v>0</v>
      </c>
      <c r="U44" s="13">
        <v>0</v>
      </c>
      <c r="V44" s="13" t="s">
        <v>129</v>
      </c>
      <c r="W44" s="13" t="s"/>
      <c r="X44" s="13" t="s">
        <v>130</v>
      </c>
      <c r="Y44" s="13" t="s">
        <v>131</v>
      </c>
      <c r="Z44" s="13" t="s"/>
      <c r="AA44" s="13" t="s"/>
      <c r="AB44" s="13" t="s"/>
      <c r="AC44" s="13" t="s"/>
      <c r="AD44" s="13" t="s">
        <v>130</v>
      </c>
      <c r="AE44" s="13" t="s">
        <v>130</v>
      </c>
      <c r="AF44" s="13">
        <v>0</v>
      </c>
      <c r="AG44" s="13">
        <v>0</v>
      </c>
      <c r="AH44" s="13">
        <v>0</v>
      </c>
      <c r="AI44" s="13" t="s"/>
      <c r="AJ44" s="13" t="s"/>
      <c r="AK44" s="13" t="s"/>
      <c r="AL44" s="13">
        <v>0</v>
      </c>
      <c r="AM44" s="13">
        <v>0</v>
      </c>
      <c r="AN44" s="13">
        <v>0</v>
      </c>
      <c r="AO44" s="13">
        <v>15</v>
      </c>
      <c r="AP44" s="13">
        <v>34</v>
      </c>
      <c r="AQ44" s="13">
        <v>46.77</v>
      </c>
      <c r="AR44" s="13">
        <v>144.19</v>
      </c>
      <c r="AS44" s="13">
        <v>25</v>
      </c>
      <c r="AT44" s="13">
        <v>43</v>
      </c>
      <c r="AU44" s="13">
        <v>10</v>
      </c>
      <c r="AV44" s="13">
        <v>30</v>
      </c>
      <c r="AW44" s="13">
        <v>81.34</v>
      </c>
      <c r="AX44" s="13">
        <v>81.34</v>
      </c>
      <c r="AY44" s="13">
        <v>25</v>
      </c>
      <c r="AZ44" s="13" t="s"/>
      <c r="BA44" s="13" t="s"/>
      <c r="BB44" s="1">
        <f>=IF(IF(BA44&lt;&gt;"",IF(AZ44&lt;&gt;"",CEILING(((AZ44-BA44)/AZ44)*100,1),IF(AND(O44&lt;&gt;"",O44&gt;0),CEILING((((O44-BA44)/O44)*100),1),"")),"")&gt;=0,IF(BA44&lt;&gt;"",IF(AZ44&lt;&gt;"",CEILING(((AZ44-BA44)/AZ44)*100,1),IF(AND(O44&lt;&gt;"",O44&gt;0),CEILING((((O44-BA44)/O44)*100),1),"")),""), "Ошибка: цена до скидки должна быть больше текущей.")</f>
      </c>
      <c r="BC44" s="13" t="s"/>
      <c r="BD44" s="13" t="s"/>
      <c r="BE44" s="13" t="s"/>
      <c r="BF44" s="13" t="s"/>
      <c r="BG44" s="13" t="s"/>
      <c r="BH44" s="13" t="s"/>
      <c r="BI44" s="13" t="s"/>
    </row>
    <row r="45" ht="20" customHeight="true">
      <c r="A45" s="13" t="s">
        <v>257</v>
      </c>
      <c r="B45" s="13">
        <v>1764968868</v>
      </c>
      <c r="C45" s="13" t="s">
        <v>258</v>
      </c>
      <c r="D45" s="13" t="s">
        <v>134</v>
      </c>
      <c r="E45" s="13" t="s">
        <v>127</v>
      </c>
      <c r="F45" s="13">
        <v>0</v>
      </c>
      <c r="G45" s="13">
        <v>28</v>
      </c>
      <c r="H45" s="13">
        <v>0.2</v>
      </c>
      <c r="I45" s="13">
        <v>0.1</v>
      </c>
      <c r="J45" s="13" t="s">
        <v>259</v>
      </c>
      <c r="K45" s="13">
        <v>26327</v>
      </c>
      <c r="L45" s="13">
        <v>8633</v>
      </c>
      <c r="M45" s="13">
        <v>0.14</v>
      </c>
      <c r="N45" s="13">
        <v>12</v>
      </c>
      <c r="O45" s="13">
        <v>8990</v>
      </c>
      <c r="P45" s="13">
        <v>5540</v>
      </c>
      <c r="Q45" s="13">
        <v>39</v>
      </c>
      <c r="R45" s="13">
        <v>3450</v>
      </c>
      <c r="S45" s="13">
        <v>2300</v>
      </c>
      <c r="T45" s="13">
        <v>81</v>
      </c>
      <c r="U45" s="13">
        <v>7256</v>
      </c>
      <c r="V45" s="13" t="s">
        <v>129</v>
      </c>
      <c r="W45" s="13" t="s"/>
      <c r="X45" s="13" t="s">
        <v>130</v>
      </c>
      <c r="Y45" s="13" t="s">
        <v>131</v>
      </c>
      <c r="Z45" s="13" t="s"/>
      <c r="AA45" s="13" t="s"/>
      <c r="AB45" s="13" t="s"/>
      <c r="AC45" s="13" t="s"/>
      <c r="AD45" s="13" t="s">
        <v>130</v>
      </c>
      <c r="AE45" s="13" t="s">
        <v>130</v>
      </c>
      <c r="AF45" s="13">
        <v>0</v>
      </c>
      <c r="AG45" s="13">
        <v>0</v>
      </c>
      <c r="AH45" s="13">
        <v>0</v>
      </c>
      <c r="AI45" s="13" t="s"/>
      <c r="AJ45" s="13" t="s"/>
      <c r="AK45" s="13" t="s"/>
      <c r="AL45" s="13">
        <v>0</v>
      </c>
      <c r="AM45" s="13">
        <v>0</v>
      </c>
      <c r="AN45" s="13">
        <v>0</v>
      </c>
      <c r="AO45" s="13">
        <v>23</v>
      </c>
      <c r="AP45" s="13">
        <v>34</v>
      </c>
      <c r="AQ45" s="13">
        <v>46.77</v>
      </c>
      <c r="AR45" s="13">
        <v>176.19</v>
      </c>
      <c r="AS45" s="13">
        <v>25</v>
      </c>
      <c r="AT45" s="13">
        <v>43</v>
      </c>
      <c r="AU45" s="13">
        <v>10</v>
      </c>
      <c r="AV45" s="13">
        <v>30</v>
      </c>
      <c r="AW45" s="13">
        <v>81.34</v>
      </c>
      <c r="AX45" s="13">
        <v>81.34</v>
      </c>
      <c r="AY45" s="13">
        <v>25</v>
      </c>
      <c r="AZ45" s="13" t="s"/>
      <c r="BA45" s="13" t="s"/>
      <c r="BB45" s="1">
        <f>=IF(IF(BA45&lt;&gt;"",IF(AZ45&lt;&gt;"",CEILING(((AZ45-BA45)/AZ45)*100,1),IF(AND(O45&lt;&gt;"",O45&gt;0),CEILING((((O45-BA45)/O45)*100),1),"")),"")&gt;=0,IF(BA45&lt;&gt;"",IF(AZ45&lt;&gt;"",CEILING(((AZ45-BA45)/AZ45)*100,1),IF(AND(O45&lt;&gt;"",O45&gt;0),CEILING((((O45-BA45)/O45)*100),1),"")),""), "Ошибка: цена до скидки должна быть больше текущей.")</f>
      </c>
      <c r="BC45" s="13" t="s"/>
      <c r="BD45" s="13" t="s"/>
      <c r="BE45" s="13" t="s"/>
      <c r="BF45" s="13" t="s"/>
      <c r="BG45" s="13" t="s"/>
      <c r="BH45" s="13" t="s"/>
      <c r="BI45" s="13" t="s"/>
    </row>
    <row r="46" ht="20" customHeight="true">
      <c r="A46" s="13" t="s">
        <v>260</v>
      </c>
      <c r="B46" s="13">
        <v>1765164650</v>
      </c>
      <c r="C46" s="13" t="s">
        <v>261</v>
      </c>
      <c r="D46" s="13" t="s">
        <v>134</v>
      </c>
      <c r="E46" s="13" t="s">
        <v>127</v>
      </c>
      <c r="F46" s="13">
        <v>59</v>
      </c>
      <c r="G46" s="13">
        <v>445</v>
      </c>
      <c r="H46" s="13">
        <v>0.604395</v>
      </c>
      <c r="I46" s="13">
        <v>0.1</v>
      </c>
      <c r="J46" s="13" t="s">
        <v>262</v>
      </c>
      <c r="K46" s="13">
        <v>12908</v>
      </c>
      <c r="L46" s="13">
        <v>10020</v>
      </c>
      <c r="M46" s="13">
        <v>0.05</v>
      </c>
      <c r="N46" s="13">
        <v>5</v>
      </c>
      <c r="O46" s="13">
        <v>5990</v>
      </c>
      <c r="P46" s="13">
        <v>2800</v>
      </c>
      <c r="Q46" s="13">
        <v>54</v>
      </c>
      <c r="R46" s="13">
        <v>3190</v>
      </c>
      <c r="S46" s="13">
        <v>2800</v>
      </c>
      <c r="T46" s="13">
        <v>69</v>
      </c>
      <c r="U46" s="13">
        <v>4110</v>
      </c>
      <c r="V46" s="13" t="s">
        <v>129</v>
      </c>
      <c r="W46" s="13">
        <v>2400</v>
      </c>
      <c r="X46" s="13" t="s">
        <v>130</v>
      </c>
      <c r="Y46" s="13" t="s">
        <v>131</v>
      </c>
      <c r="Z46" s="13" t="s"/>
      <c r="AA46" s="13" t="s"/>
      <c r="AB46" s="13" t="s"/>
      <c r="AC46" s="13" t="s"/>
      <c r="AD46" s="13" t="s">
        <v>130</v>
      </c>
      <c r="AE46" s="13" t="s">
        <v>130</v>
      </c>
      <c r="AF46" s="13">
        <v>0</v>
      </c>
      <c r="AG46" s="13">
        <v>0</v>
      </c>
      <c r="AH46" s="13">
        <v>0</v>
      </c>
      <c r="AI46" s="13" t="s"/>
      <c r="AJ46" s="13" t="s"/>
      <c r="AK46" s="13" t="s"/>
      <c r="AL46" s="13">
        <v>0</v>
      </c>
      <c r="AM46" s="13">
        <v>0</v>
      </c>
      <c r="AN46" s="13">
        <v>0</v>
      </c>
      <c r="AO46" s="13">
        <v>28</v>
      </c>
      <c r="AP46" s="13">
        <v>34</v>
      </c>
      <c r="AQ46" s="13">
        <v>46.77</v>
      </c>
      <c r="AR46" s="13">
        <v>196.19</v>
      </c>
      <c r="AS46" s="13">
        <v>25</v>
      </c>
      <c r="AT46" s="13">
        <v>43</v>
      </c>
      <c r="AU46" s="13">
        <v>10</v>
      </c>
      <c r="AV46" s="13">
        <v>30</v>
      </c>
      <c r="AW46" s="13">
        <v>81.34</v>
      </c>
      <c r="AX46" s="13">
        <v>81.34</v>
      </c>
      <c r="AY46" s="13">
        <v>25</v>
      </c>
      <c r="AZ46" s="13" t="s"/>
      <c r="BA46" s="13" t="s"/>
      <c r="BB46" s="1">
        <f>=IF(IF(BA46&lt;&gt;"",IF(AZ46&lt;&gt;"",CEILING(((AZ46-BA46)/AZ46)*100,1),IF(AND(O46&lt;&gt;"",O46&gt;0),CEILING((((O46-BA46)/O46)*100),1),"")),"")&gt;=0,IF(BA46&lt;&gt;"",IF(AZ46&lt;&gt;"",CEILING(((AZ46-BA46)/AZ46)*100,1),IF(AND(O46&lt;&gt;"",O46&gt;0),CEILING((((O46-BA46)/O46)*100),1),"")),""), "Ошибка: цена до скидки должна быть больше текущей.")</f>
      </c>
      <c r="BC46" s="13" t="s"/>
      <c r="BD46" s="13" t="s"/>
      <c r="BE46" s="13" t="s"/>
      <c r="BF46" s="13" t="s"/>
      <c r="BG46" s="13" t="s"/>
      <c r="BH46" s="13" t="s"/>
      <c r="BI46" s="13" t="s"/>
    </row>
    <row r="47" ht="20" customHeight="true">
      <c r="A47" s="13" t="s">
        <v>263</v>
      </c>
      <c r="B47" s="13">
        <v>1838871151</v>
      </c>
      <c r="C47" s="13" t="s">
        <v>264</v>
      </c>
      <c r="D47" s="13" t="s">
        <v>126</v>
      </c>
      <c r="E47" s="13" t="s">
        <v>127</v>
      </c>
      <c r="F47" s="13">
        <v>0</v>
      </c>
      <c r="G47" s="13">
        <v>0</v>
      </c>
      <c r="H47" s="13">
        <v>0.704</v>
      </c>
      <c r="I47" s="13">
        <v>0.1</v>
      </c>
      <c r="J47" s="13" t="s">
        <v>265</v>
      </c>
      <c r="K47" s="13">
        <v>0</v>
      </c>
      <c r="L47" s="13">
        <v>125</v>
      </c>
      <c r="M47" s="13">
        <v>0</v>
      </c>
      <c r="N47" s="13">
        <v>0</v>
      </c>
      <c r="O47" s="13">
        <v>19950</v>
      </c>
      <c r="P47" s="13">
        <v>14500</v>
      </c>
      <c r="Q47" s="13">
        <v>28</v>
      </c>
      <c r="R47" s="13">
        <v>5450</v>
      </c>
      <c r="S47" s="13">
        <v>14500</v>
      </c>
      <c r="T47" s="13">
        <v>53</v>
      </c>
      <c r="U47" s="13">
        <v>10473</v>
      </c>
      <c r="V47" s="13" t="s">
        <v>129</v>
      </c>
      <c r="W47" s="13">
        <v>8500</v>
      </c>
      <c r="X47" s="13" t="s">
        <v>130</v>
      </c>
      <c r="Y47" s="13" t="s">
        <v>131</v>
      </c>
      <c r="Z47" s="13" t="s"/>
      <c r="AA47" s="13" t="s"/>
      <c r="AB47" s="13" t="s"/>
      <c r="AC47" s="13" t="s"/>
      <c r="AD47" s="13" t="s">
        <v>130</v>
      </c>
      <c r="AE47" s="13" t="s">
        <v>130</v>
      </c>
      <c r="AF47" s="13">
        <v>0</v>
      </c>
      <c r="AG47" s="13">
        <v>0</v>
      </c>
      <c r="AH47" s="13">
        <v>0</v>
      </c>
      <c r="AI47" s="13" t="s"/>
      <c r="AJ47" s="13" t="s"/>
      <c r="AK47" s="13" t="s"/>
      <c r="AL47" s="13">
        <v>0</v>
      </c>
      <c r="AM47" s="13">
        <v>0</v>
      </c>
      <c r="AN47" s="13">
        <v>0</v>
      </c>
      <c r="AO47" s="13">
        <v>145</v>
      </c>
      <c r="AP47" s="13">
        <v>34</v>
      </c>
      <c r="AQ47" s="13">
        <v>46.77</v>
      </c>
      <c r="AR47" s="13">
        <v>664.19</v>
      </c>
      <c r="AS47" s="13">
        <v>25</v>
      </c>
      <c r="AT47" s="13">
        <v>43</v>
      </c>
      <c r="AU47" s="13">
        <v>10</v>
      </c>
      <c r="AV47" s="13">
        <v>30</v>
      </c>
      <c r="AW47" s="13">
        <v>81.34</v>
      </c>
      <c r="AX47" s="13">
        <v>81.34</v>
      </c>
      <c r="AY47" s="13">
        <v>25</v>
      </c>
      <c r="AZ47" s="13" t="s"/>
      <c r="BA47" s="13" t="s"/>
      <c r="BB47" s="1">
        <f>=IF(IF(BA47&lt;&gt;"",IF(AZ47&lt;&gt;"",CEILING(((AZ47-BA47)/AZ47)*100,1),IF(AND(O47&lt;&gt;"",O47&gt;0),CEILING((((O47-BA47)/O47)*100),1),"")),"")&gt;=0,IF(BA47&lt;&gt;"",IF(AZ47&lt;&gt;"",CEILING(((AZ47-BA47)/AZ47)*100,1),IF(AND(O47&lt;&gt;"",O47&gt;0),CEILING((((O47-BA47)/O47)*100),1),"")),""), "Ошибка: цена до скидки должна быть больше текущей.")</f>
      </c>
      <c r="BC47" s="13" t="s"/>
      <c r="BD47" s="13" t="s"/>
      <c r="BE47" s="13" t="s"/>
      <c r="BF47" s="13" t="s"/>
      <c r="BG47" s="13" t="s"/>
      <c r="BH47" s="13" t="s"/>
      <c r="BI47" s="13" t="s"/>
    </row>
    <row r="48" ht="20" customHeight="true">
      <c r="A48" s="13" t="s">
        <v>266</v>
      </c>
      <c r="B48" s="13">
        <v>1840393865</v>
      </c>
      <c r="C48" s="13" t="s">
        <v>267</v>
      </c>
      <c r="D48" s="13" t="s">
        <v>143</v>
      </c>
      <c r="E48" s="13" t="s">
        <v>144</v>
      </c>
      <c r="F48" s="13">
        <v>0</v>
      </c>
      <c r="G48" s="13">
        <v>0</v>
      </c>
      <c r="H48" s="13">
        <v>0.2</v>
      </c>
      <c r="I48" s="13">
        <v>0.1</v>
      </c>
      <c r="J48" s="13" t="s">
        <v>268</v>
      </c>
      <c r="K48" s="13">
        <v>0</v>
      </c>
      <c r="L48" s="13">
        <v>0</v>
      </c>
      <c r="M48" s="13">
        <v>0</v>
      </c>
      <c r="N48" s="13">
        <v>0</v>
      </c>
      <c r="O48" s="13">
        <v>8950</v>
      </c>
      <c r="P48" s="13">
        <v>3480</v>
      </c>
      <c r="Q48" s="13">
        <v>62</v>
      </c>
      <c r="R48" s="13">
        <v>5470</v>
      </c>
      <c r="S48" s="13">
        <v>2500</v>
      </c>
      <c r="T48" s="13">
        <v>73</v>
      </c>
      <c r="U48" s="13">
        <v>6450</v>
      </c>
      <c r="V48" s="13" t="s">
        <v>129</v>
      </c>
      <c r="W48" s="13" t="s"/>
      <c r="X48" s="13" t="s">
        <v>130</v>
      </c>
      <c r="Y48" s="13" t="s">
        <v>131</v>
      </c>
      <c r="Z48" s="13" t="s"/>
      <c r="AA48" s="13" t="s"/>
      <c r="AB48" s="13" t="s"/>
      <c r="AC48" s="13" t="s"/>
      <c r="AD48" s="13" t="s">
        <v>130</v>
      </c>
      <c r="AE48" s="13" t="s">
        <v>130</v>
      </c>
      <c r="AF48" s="13">
        <v>0</v>
      </c>
      <c r="AG48" s="13">
        <v>0</v>
      </c>
      <c r="AH48" s="13">
        <v>0</v>
      </c>
      <c r="AI48" s="13" t="s"/>
      <c r="AJ48" s="13" t="s"/>
      <c r="AK48" s="13" t="s"/>
      <c r="AL48" s="13">
        <v>0</v>
      </c>
      <c r="AM48" s="13">
        <v>0</v>
      </c>
      <c r="AN48" s="13">
        <v>0</v>
      </c>
      <c r="AO48" s="13">
        <v>25</v>
      </c>
      <c r="AP48" s="13">
        <v>34</v>
      </c>
      <c r="AQ48" s="13">
        <v>46.77</v>
      </c>
      <c r="AR48" s="13">
        <v>184.19</v>
      </c>
      <c r="AS48" s="13">
        <v>25</v>
      </c>
      <c r="AT48" s="13">
        <v>43</v>
      </c>
      <c r="AU48" s="13">
        <v>10</v>
      </c>
      <c r="AV48" s="13">
        <v>30</v>
      </c>
      <c r="AW48" s="13">
        <v>81.34</v>
      </c>
      <c r="AX48" s="13">
        <v>81.34</v>
      </c>
      <c r="AY48" s="13">
        <v>25</v>
      </c>
      <c r="AZ48" s="13" t="s"/>
      <c r="BA48" s="13" t="s"/>
      <c r="BB48" s="1">
        <f>=IF(IF(BA48&lt;&gt;"",IF(AZ48&lt;&gt;"",CEILING(((AZ48-BA48)/AZ48)*100,1),IF(AND(O48&lt;&gt;"",O48&gt;0),CEILING((((O48-BA48)/O48)*100),1),"")),"")&gt;=0,IF(BA48&lt;&gt;"",IF(AZ48&lt;&gt;"",CEILING(((AZ48-BA48)/AZ48)*100,1),IF(AND(O48&lt;&gt;"",O48&gt;0),CEILING((((O48-BA48)/O48)*100),1),"")),""), "Ошибка: цена до скидки должна быть больше текущей.")</f>
      </c>
      <c r="BC48" s="13" t="s"/>
      <c r="BD48" s="13" t="s"/>
      <c r="BE48" s="13" t="s"/>
      <c r="BF48" s="13" t="s"/>
      <c r="BG48" s="13" t="s"/>
      <c r="BH48" s="13" t="s"/>
      <c r="BI48" s="13" t="s"/>
    </row>
    <row r="49" ht="20" customHeight="true">
      <c r="A49" s="13" t="s">
        <v>269</v>
      </c>
      <c r="B49" s="13">
        <v>1842476942</v>
      </c>
      <c r="C49" s="13" t="s">
        <v>270</v>
      </c>
      <c r="D49" s="13" t="s">
        <v>126</v>
      </c>
      <c r="E49" s="13" t="s">
        <v>127</v>
      </c>
      <c r="F49" s="13">
        <v>0</v>
      </c>
      <c r="G49" s="13">
        <v>0</v>
      </c>
      <c r="H49" s="13">
        <v>0.6776</v>
      </c>
      <c r="I49" s="13">
        <v>0.1</v>
      </c>
      <c r="J49" s="13" t="s">
        <v>271</v>
      </c>
      <c r="K49" s="13">
        <v>0</v>
      </c>
      <c r="L49" s="13">
        <v>68</v>
      </c>
      <c r="M49" s="13">
        <v>0</v>
      </c>
      <c r="N49" s="13">
        <v>0</v>
      </c>
      <c r="O49" s="13">
        <v>0</v>
      </c>
      <c r="P49" s="13">
        <v>4540</v>
      </c>
      <c r="Q49" s="13">
        <v>0</v>
      </c>
      <c r="R49" s="13">
        <v>0</v>
      </c>
      <c r="S49" s="13">
        <v>1311</v>
      </c>
      <c r="T49" s="13">
        <v>0</v>
      </c>
      <c r="U49" s="13">
        <v>0</v>
      </c>
      <c r="V49" s="13" t="s">
        <v>129</v>
      </c>
      <c r="W49" s="13" t="s"/>
      <c r="X49" s="13" t="s">
        <v>272</v>
      </c>
      <c r="Y49" s="13" t="s">
        <v>273</v>
      </c>
      <c r="Z49" s="13" t="s"/>
      <c r="AA49" s="13" t="s"/>
      <c r="AB49" s="13" t="s"/>
      <c r="AC49" s="13" t="s"/>
      <c r="AD49" s="13" t="s">
        <v>130</v>
      </c>
      <c r="AE49" s="13" t="s">
        <v>130</v>
      </c>
      <c r="AF49" s="13">
        <v>0</v>
      </c>
      <c r="AG49" s="13">
        <v>0</v>
      </c>
      <c r="AH49" s="13">
        <v>0</v>
      </c>
      <c r="AI49" s="13" t="s"/>
      <c r="AJ49" s="13" t="s"/>
      <c r="AK49" s="13" t="s"/>
      <c r="AL49" s="13">
        <v>0</v>
      </c>
      <c r="AM49" s="13">
        <v>0</v>
      </c>
      <c r="AN49" s="13">
        <v>0</v>
      </c>
      <c r="AO49" s="13">
        <v>13.11</v>
      </c>
      <c r="AP49" s="13">
        <v>34</v>
      </c>
      <c r="AQ49" s="13">
        <v>46.77</v>
      </c>
      <c r="AR49" s="13">
        <v>136.63</v>
      </c>
      <c r="AS49" s="13">
        <v>25</v>
      </c>
      <c r="AT49" s="13">
        <v>43</v>
      </c>
      <c r="AU49" s="13">
        <v>10</v>
      </c>
      <c r="AV49" s="13">
        <v>30</v>
      </c>
      <c r="AW49" s="13">
        <v>81.34</v>
      </c>
      <c r="AX49" s="13">
        <v>81.34</v>
      </c>
      <c r="AY49" s="13">
        <v>25</v>
      </c>
      <c r="AZ49" s="13" t="s"/>
      <c r="BA49" s="13" t="s"/>
      <c r="BB49" s="1">
        <f>=IF(IF(BA49&lt;&gt;"",IF(AZ49&lt;&gt;"",CEILING(((AZ49-BA49)/AZ49)*100,1),IF(AND(O49&lt;&gt;"",O49&gt;0),CEILING((((O49-BA49)/O49)*100),1),"")),"")&gt;=0,IF(BA49&lt;&gt;"",IF(AZ49&lt;&gt;"",CEILING(((AZ49-BA49)/AZ49)*100,1),IF(AND(O49&lt;&gt;"",O49&gt;0),CEILING((((O49-BA49)/O49)*100),1),"")),""), "Ошибка: цена до скидки должна быть больше текущей.")</f>
      </c>
      <c r="BC49" s="13" t="s"/>
      <c r="BD49" s="13" t="s"/>
      <c r="BE49" s="13" t="s"/>
      <c r="BF49" s="13" t="s"/>
      <c r="BG49" s="13" t="s"/>
      <c r="BH49" s="13" t="s"/>
      <c r="BI49" s="13" t="s"/>
    </row>
    <row r="50" ht="20" customHeight="true">
      <c r="A50" s="13" t="s">
        <v>274</v>
      </c>
      <c r="B50" s="13">
        <v>1842498795</v>
      </c>
      <c r="C50" s="13" t="s">
        <v>275</v>
      </c>
      <c r="D50" s="13" t="s">
        <v>126</v>
      </c>
      <c r="E50" s="13" t="s">
        <v>127</v>
      </c>
      <c r="F50" s="13">
        <v>0</v>
      </c>
      <c r="G50" s="13">
        <v>0</v>
      </c>
      <c r="H50" s="13">
        <v>0.68376</v>
      </c>
      <c r="I50" s="13">
        <v>0.1</v>
      </c>
      <c r="J50" s="13" t="s">
        <v>276</v>
      </c>
      <c r="K50" s="13">
        <v>0</v>
      </c>
      <c r="L50" s="13">
        <v>4</v>
      </c>
      <c r="M50" s="13">
        <v>0</v>
      </c>
      <c r="N50" s="13">
        <v>0</v>
      </c>
      <c r="O50" s="13">
        <v>7999</v>
      </c>
      <c r="P50" s="13">
        <v>3460</v>
      </c>
      <c r="Q50" s="13">
        <v>57</v>
      </c>
      <c r="R50" s="13">
        <v>4539</v>
      </c>
      <c r="S50" s="13">
        <v>3460</v>
      </c>
      <c r="T50" s="13">
        <v>57</v>
      </c>
      <c r="U50" s="13">
        <v>4539</v>
      </c>
      <c r="V50" s="13" t="s">
        <v>129</v>
      </c>
      <c r="W50" s="13" t="s"/>
      <c r="X50" s="13" t="s">
        <v>130</v>
      </c>
      <c r="Y50" s="13" t="s">
        <v>131</v>
      </c>
      <c r="Z50" s="13" t="s"/>
      <c r="AA50" s="13" t="s"/>
      <c r="AB50" s="13" t="s"/>
      <c r="AC50" s="13" t="s"/>
      <c r="AD50" s="13" t="s">
        <v>130</v>
      </c>
      <c r="AE50" s="13" t="s">
        <v>130</v>
      </c>
      <c r="AF50" s="13">
        <v>0</v>
      </c>
      <c r="AG50" s="13">
        <v>0</v>
      </c>
      <c r="AH50" s="13">
        <v>0</v>
      </c>
      <c r="AI50" s="13" t="s"/>
      <c r="AJ50" s="13" t="s"/>
      <c r="AK50" s="13" t="s"/>
      <c r="AL50" s="13">
        <v>0</v>
      </c>
      <c r="AM50" s="13">
        <v>0</v>
      </c>
      <c r="AN50" s="13">
        <v>0</v>
      </c>
      <c r="AO50" s="13">
        <v>34.6</v>
      </c>
      <c r="AP50" s="13">
        <v>34</v>
      </c>
      <c r="AQ50" s="13">
        <v>46.77</v>
      </c>
      <c r="AR50" s="13">
        <v>222.59</v>
      </c>
      <c r="AS50" s="13">
        <v>25</v>
      </c>
      <c r="AT50" s="13">
        <v>43</v>
      </c>
      <c r="AU50" s="13">
        <v>10</v>
      </c>
      <c r="AV50" s="13">
        <v>30</v>
      </c>
      <c r="AW50" s="13">
        <v>81.34</v>
      </c>
      <c r="AX50" s="13">
        <v>81.34</v>
      </c>
      <c r="AY50" s="13">
        <v>25</v>
      </c>
      <c r="AZ50" s="13" t="s"/>
      <c r="BA50" s="13" t="s"/>
      <c r="BB50" s="1">
        <f>=IF(IF(BA50&lt;&gt;"",IF(AZ50&lt;&gt;"",CEILING(((AZ50-BA50)/AZ50)*100,1),IF(AND(O50&lt;&gt;"",O50&gt;0),CEILING((((O50-BA50)/O50)*100),1),"")),"")&gt;=0,IF(BA50&lt;&gt;"",IF(AZ50&lt;&gt;"",CEILING(((AZ50-BA50)/AZ50)*100,1),IF(AND(O50&lt;&gt;"",O50&gt;0),CEILING((((O50-BA50)/O50)*100),1),"")),""), "Ошибка: цена до скидки должна быть больше текущей.")</f>
      </c>
      <c r="BC50" s="13" t="s"/>
      <c r="BD50" s="13" t="s"/>
      <c r="BE50" s="13" t="s"/>
      <c r="BF50" s="13" t="s"/>
      <c r="BG50" s="13" t="s"/>
      <c r="BH50" s="13" t="s"/>
      <c r="BI50" s="13" t="s"/>
    </row>
    <row r="51" ht="20" customHeight="true">
      <c r="A51" s="13" t="s">
        <v>277</v>
      </c>
      <c r="B51" s="13">
        <v>1845870143</v>
      </c>
      <c r="C51" s="13" t="s">
        <v>278</v>
      </c>
      <c r="D51" s="13" t="s">
        <v>126</v>
      </c>
      <c r="E51" s="13" t="s">
        <v>127</v>
      </c>
      <c r="F51" s="13">
        <v>0</v>
      </c>
      <c r="G51" s="13">
        <v>0</v>
      </c>
      <c r="H51" s="13">
        <v>0.98568</v>
      </c>
      <c r="I51" s="13">
        <v>0.2</v>
      </c>
      <c r="J51" s="13" t="s">
        <v>279</v>
      </c>
      <c r="K51" s="13">
        <v>0</v>
      </c>
      <c r="L51" s="13">
        <v>99</v>
      </c>
      <c r="M51" s="13">
        <v>0</v>
      </c>
      <c r="N51" s="13">
        <v>0</v>
      </c>
      <c r="O51" s="13">
        <v>19990</v>
      </c>
      <c r="P51" s="13">
        <v>14350</v>
      </c>
      <c r="Q51" s="13">
        <v>29</v>
      </c>
      <c r="R51" s="13">
        <v>5640</v>
      </c>
      <c r="S51" s="13">
        <v>6900</v>
      </c>
      <c r="T51" s="13">
        <v>74</v>
      </c>
      <c r="U51" s="13">
        <v>14650</v>
      </c>
      <c r="V51" s="13" t="s">
        <v>129</v>
      </c>
      <c r="W51" s="13" t="s"/>
      <c r="X51" s="13" t="s">
        <v>130</v>
      </c>
      <c r="Y51" s="13" t="s">
        <v>131</v>
      </c>
      <c r="Z51" s="13" t="s"/>
      <c r="AA51" s="13" t="s"/>
      <c r="AB51" s="13" t="s"/>
      <c r="AC51" s="13" t="s"/>
      <c r="AD51" s="13" t="s">
        <v>130</v>
      </c>
      <c r="AE51" s="13" t="s">
        <v>130</v>
      </c>
      <c r="AF51" s="13">
        <v>0</v>
      </c>
      <c r="AG51" s="13">
        <v>0</v>
      </c>
      <c r="AH51" s="13">
        <v>0</v>
      </c>
      <c r="AI51" s="13" t="s"/>
      <c r="AJ51" s="13" t="s"/>
      <c r="AK51" s="13" t="s"/>
      <c r="AL51" s="13">
        <v>0</v>
      </c>
      <c r="AM51" s="13">
        <v>0</v>
      </c>
      <c r="AN51" s="13">
        <v>0</v>
      </c>
      <c r="AO51" s="13">
        <v>69</v>
      </c>
      <c r="AP51" s="13">
        <v>34</v>
      </c>
      <c r="AQ51" s="13">
        <v>46.77</v>
      </c>
      <c r="AR51" s="13">
        <v>360.19</v>
      </c>
      <c r="AS51" s="13">
        <v>25</v>
      </c>
      <c r="AT51" s="13">
        <v>43</v>
      </c>
      <c r="AU51" s="13">
        <v>10</v>
      </c>
      <c r="AV51" s="13">
        <v>30</v>
      </c>
      <c r="AW51" s="13">
        <v>81.34</v>
      </c>
      <c r="AX51" s="13">
        <v>81.34</v>
      </c>
      <c r="AY51" s="13">
        <v>25</v>
      </c>
      <c r="AZ51" s="13" t="s"/>
      <c r="BA51" s="13" t="s"/>
      <c r="BB51" s="1">
        <f>=IF(IF(BA51&lt;&gt;"",IF(AZ51&lt;&gt;"",CEILING(((AZ51-BA51)/AZ51)*100,1),IF(AND(O51&lt;&gt;"",O51&gt;0),CEILING((((O51-BA51)/O51)*100),1),"")),"")&gt;=0,IF(BA51&lt;&gt;"",IF(AZ51&lt;&gt;"",CEILING(((AZ51-BA51)/AZ51)*100,1),IF(AND(O51&lt;&gt;"",O51&gt;0),CEILING((((O51-BA51)/O51)*100),1),"")),""), "Ошибка: цена до скидки должна быть больше текущей.")</f>
      </c>
      <c r="BC51" s="13" t="s"/>
      <c r="BD51" s="13" t="s"/>
      <c r="BE51" s="13" t="s"/>
      <c r="BF51" s="13" t="s"/>
      <c r="BG51" s="13" t="s"/>
      <c r="BH51" s="13" t="s"/>
      <c r="BI51" s="13" t="s"/>
    </row>
    <row r="52" ht="20" customHeight="true">
      <c r="A52" s="13" t="s">
        <v>280</v>
      </c>
      <c r="B52" s="13">
        <v>1863572693</v>
      </c>
      <c r="C52" s="13" t="s">
        <v>281</v>
      </c>
      <c r="D52" s="13" t="s">
        <v>126</v>
      </c>
      <c r="E52" s="13" t="s">
        <v>127</v>
      </c>
      <c r="F52" s="13">
        <v>0</v>
      </c>
      <c r="G52" s="13">
        <v>0</v>
      </c>
      <c r="H52" s="13">
        <v>0.68376</v>
      </c>
      <c r="I52" s="13">
        <v>0.1</v>
      </c>
      <c r="J52" s="13" t="s">
        <v>282</v>
      </c>
      <c r="K52" s="13">
        <v>0</v>
      </c>
      <c r="L52" s="13">
        <v>95</v>
      </c>
      <c r="M52" s="13">
        <v>0</v>
      </c>
      <c r="N52" s="13">
        <v>0</v>
      </c>
      <c r="O52" s="13">
        <v>29990</v>
      </c>
      <c r="P52" s="13">
        <v>19550</v>
      </c>
      <c r="Q52" s="13">
        <v>35</v>
      </c>
      <c r="R52" s="13">
        <v>10440</v>
      </c>
      <c r="S52" s="13">
        <v>10000</v>
      </c>
      <c r="T52" s="13">
        <v>77</v>
      </c>
      <c r="U52" s="13">
        <v>23081</v>
      </c>
      <c r="V52" s="13" t="s">
        <v>129</v>
      </c>
      <c r="W52" s="13" t="s"/>
      <c r="X52" s="13" t="s">
        <v>130</v>
      </c>
      <c r="Y52" s="13" t="s">
        <v>131</v>
      </c>
      <c r="Z52" s="13" t="s"/>
      <c r="AA52" s="13" t="s"/>
      <c r="AB52" s="13" t="s"/>
      <c r="AC52" s="13" t="s"/>
      <c r="AD52" s="13" t="s">
        <v>130</v>
      </c>
      <c r="AE52" s="13" t="s">
        <v>130</v>
      </c>
      <c r="AF52" s="13">
        <v>0</v>
      </c>
      <c r="AG52" s="13">
        <v>0</v>
      </c>
      <c r="AH52" s="13">
        <v>0</v>
      </c>
      <c r="AI52" s="13" t="s"/>
      <c r="AJ52" s="13" t="s"/>
      <c r="AK52" s="13" t="s"/>
      <c r="AL52" s="13">
        <v>0</v>
      </c>
      <c r="AM52" s="13">
        <v>0</v>
      </c>
      <c r="AN52" s="13">
        <v>0</v>
      </c>
      <c r="AO52" s="13">
        <v>100</v>
      </c>
      <c r="AP52" s="13">
        <v>34</v>
      </c>
      <c r="AQ52" s="13">
        <v>46.77</v>
      </c>
      <c r="AR52" s="13">
        <v>484.19</v>
      </c>
      <c r="AS52" s="13">
        <v>25</v>
      </c>
      <c r="AT52" s="13">
        <v>43</v>
      </c>
      <c r="AU52" s="13">
        <v>10</v>
      </c>
      <c r="AV52" s="13">
        <v>30</v>
      </c>
      <c r="AW52" s="13">
        <v>81.34</v>
      </c>
      <c r="AX52" s="13">
        <v>81.34</v>
      </c>
      <c r="AY52" s="13">
        <v>25</v>
      </c>
      <c r="AZ52" s="13" t="s"/>
      <c r="BA52" s="13" t="s"/>
      <c r="BB52" s="1">
        <f>=IF(IF(BA52&lt;&gt;"",IF(AZ52&lt;&gt;"",CEILING(((AZ52-BA52)/AZ52)*100,1),IF(AND(O52&lt;&gt;"",O52&gt;0),CEILING((((O52-BA52)/O52)*100),1),"")),"")&gt;=0,IF(BA52&lt;&gt;"",IF(AZ52&lt;&gt;"",CEILING(((AZ52-BA52)/AZ52)*100,1),IF(AND(O52&lt;&gt;"",O52&gt;0),CEILING((((O52-BA52)/O52)*100),1),"")),""), "Ошибка: цена до скидки должна быть больше текущей.")</f>
      </c>
      <c r="BC52" s="13" t="s"/>
      <c r="BD52" s="13" t="s"/>
      <c r="BE52" s="13" t="s"/>
      <c r="BF52" s="13" t="s"/>
      <c r="BG52" s="13" t="s"/>
      <c r="BH52" s="13" t="s"/>
      <c r="BI52" s="13" t="s"/>
    </row>
    <row r="53" ht="20" customHeight="true">
      <c r="A53" s="13" t="s">
        <v>283</v>
      </c>
      <c r="B53" s="13">
        <v>1893752404</v>
      </c>
      <c r="C53" s="13" t="s">
        <v>284</v>
      </c>
      <c r="D53" s="13" t="s">
        <v>126</v>
      </c>
      <c r="E53" s="13" t="s">
        <v>127</v>
      </c>
      <c r="F53" s="13">
        <v>0</v>
      </c>
      <c r="G53" s="13">
        <v>0</v>
      </c>
      <c r="H53" s="13">
        <v>0.2</v>
      </c>
      <c r="I53" s="13">
        <v>0.1</v>
      </c>
      <c r="J53" s="13" t="s">
        <v>285</v>
      </c>
      <c r="K53" s="13">
        <v>0</v>
      </c>
      <c r="L53" s="13">
        <v>15</v>
      </c>
      <c r="M53" s="13">
        <v>0</v>
      </c>
      <c r="N53" s="13">
        <v>0</v>
      </c>
      <c r="O53" s="13">
        <v>7999</v>
      </c>
      <c r="P53" s="13">
        <v>4590</v>
      </c>
      <c r="Q53" s="13">
        <v>43</v>
      </c>
      <c r="R53" s="13">
        <v>3409</v>
      </c>
      <c r="S53" s="13">
        <v>4590</v>
      </c>
      <c r="T53" s="13">
        <v>43</v>
      </c>
      <c r="U53" s="13">
        <v>3409</v>
      </c>
      <c r="V53" s="13" t="s">
        <v>129</v>
      </c>
      <c r="W53" s="13" t="s"/>
      <c r="X53" s="13" t="s">
        <v>130</v>
      </c>
      <c r="Y53" s="13" t="s">
        <v>131</v>
      </c>
      <c r="Z53" s="13" t="s"/>
      <c r="AA53" s="13" t="s"/>
      <c r="AB53" s="13" t="s"/>
      <c r="AC53" s="13" t="s"/>
      <c r="AD53" s="13" t="s">
        <v>130</v>
      </c>
      <c r="AE53" s="13" t="s">
        <v>130</v>
      </c>
      <c r="AF53" s="13">
        <v>0</v>
      </c>
      <c r="AG53" s="13">
        <v>0</v>
      </c>
      <c r="AH53" s="13">
        <v>0</v>
      </c>
      <c r="AI53" s="13" t="s"/>
      <c r="AJ53" s="13" t="s"/>
      <c r="AK53" s="13" t="s"/>
      <c r="AL53" s="13">
        <v>0</v>
      </c>
      <c r="AM53" s="13">
        <v>0</v>
      </c>
      <c r="AN53" s="13">
        <v>0</v>
      </c>
      <c r="AO53" s="13">
        <v>45.9</v>
      </c>
      <c r="AP53" s="13">
        <v>34</v>
      </c>
      <c r="AQ53" s="13">
        <v>46.77</v>
      </c>
      <c r="AR53" s="13">
        <v>267.79</v>
      </c>
      <c r="AS53" s="13">
        <v>25</v>
      </c>
      <c r="AT53" s="13">
        <v>43</v>
      </c>
      <c r="AU53" s="13">
        <v>10</v>
      </c>
      <c r="AV53" s="13">
        <v>30</v>
      </c>
      <c r="AW53" s="13">
        <v>81.34</v>
      </c>
      <c r="AX53" s="13">
        <v>81.34</v>
      </c>
      <c r="AY53" s="13">
        <v>25</v>
      </c>
      <c r="AZ53" s="13" t="s"/>
      <c r="BA53" s="13" t="s"/>
      <c r="BB53" s="1">
        <f>=IF(IF(BA53&lt;&gt;"",IF(AZ53&lt;&gt;"",CEILING(((AZ53-BA53)/AZ53)*100,1),IF(AND(O53&lt;&gt;"",O53&gt;0),CEILING((((O53-BA53)/O53)*100),1),"")),"")&gt;=0,IF(BA53&lt;&gt;"",IF(AZ53&lt;&gt;"",CEILING(((AZ53-BA53)/AZ53)*100,1),IF(AND(O53&lt;&gt;"",O53&gt;0),CEILING((((O53-BA53)/O53)*100),1),"")),""), "Ошибка: цена до скидки должна быть больше текущей.")</f>
      </c>
      <c r="BC53" s="13" t="s"/>
      <c r="BD53" s="13" t="s"/>
      <c r="BE53" s="13" t="s"/>
      <c r="BF53" s="13" t="s"/>
      <c r="BG53" s="13" t="s"/>
      <c r="BH53" s="13" t="s"/>
      <c r="BI53" s="13" t="s"/>
    </row>
    <row r="54" ht="20" customHeight="true">
      <c r="A54" s="13" t="s">
        <v>286</v>
      </c>
      <c r="B54" s="13">
        <v>1895100743</v>
      </c>
      <c r="C54" s="13" t="s">
        <v>287</v>
      </c>
      <c r="D54" s="13" t="s">
        <v>126</v>
      </c>
      <c r="E54" s="13" t="s">
        <v>127</v>
      </c>
      <c r="F54" s="13">
        <v>0</v>
      </c>
      <c r="G54" s="13">
        <v>0</v>
      </c>
      <c r="H54" s="13">
        <v>0.2</v>
      </c>
      <c r="I54" s="13">
        <v>0.1</v>
      </c>
      <c r="J54" s="13" t="s">
        <v>288</v>
      </c>
      <c r="K54" s="13">
        <v>0</v>
      </c>
      <c r="L54" s="13">
        <v>16</v>
      </c>
      <c r="M54" s="13">
        <v>0</v>
      </c>
      <c r="N54" s="13">
        <v>0</v>
      </c>
      <c r="O54" s="13">
        <v>4990</v>
      </c>
      <c r="P54" s="13">
        <v>3330</v>
      </c>
      <c r="Q54" s="13">
        <v>34</v>
      </c>
      <c r="R54" s="13">
        <v>1660</v>
      </c>
      <c r="S54" s="13">
        <v>3330</v>
      </c>
      <c r="T54" s="13">
        <v>34</v>
      </c>
      <c r="U54" s="13">
        <v>1660</v>
      </c>
      <c r="V54" s="13" t="s">
        <v>129</v>
      </c>
      <c r="W54" s="13" t="s"/>
      <c r="X54" s="13" t="s">
        <v>130</v>
      </c>
      <c r="Y54" s="13" t="s">
        <v>131</v>
      </c>
      <c r="Z54" s="13" t="s"/>
      <c r="AA54" s="13" t="s"/>
      <c r="AB54" s="13" t="s"/>
      <c r="AC54" s="13" t="s"/>
      <c r="AD54" s="13" t="s">
        <v>130</v>
      </c>
      <c r="AE54" s="13" t="s">
        <v>130</v>
      </c>
      <c r="AF54" s="13">
        <v>0</v>
      </c>
      <c r="AG54" s="13">
        <v>0</v>
      </c>
      <c r="AH54" s="13">
        <v>0</v>
      </c>
      <c r="AI54" s="13" t="s"/>
      <c r="AJ54" s="13" t="s"/>
      <c r="AK54" s="13" t="s"/>
      <c r="AL54" s="13">
        <v>0</v>
      </c>
      <c r="AM54" s="13">
        <v>0</v>
      </c>
      <c r="AN54" s="13">
        <v>0</v>
      </c>
      <c r="AO54" s="13">
        <v>33.3</v>
      </c>
      <c r="AP54" s="13">
        <v>34</v>
      </c>
      <c r="AQ54" s="13">
        <v>46.77</v>
      </c>
      <c r="AR54" s="13">
        <v>217.39</v>
      </c>
      <c r="AS54" s="13">
        <v>25</v>
      </c>
      <c r="AT54" s="13">
        <v>43</v>
      </c>
      <c r="AU54" s="13">
        <v>10</v>
      </c>
      <c r="AV54" s="13">
        <v>30</v>
      </c>
      <c r="AW54" s="13">
        <v>81.34</v>
      </c>
      <c r="AX54" s="13">
        <v>81.34</v>
      </c>
      <c r="AY54" s="13">
        <v>25</v>
      </c>
      <c r="AZ54" s="13" t="s"/>
      <c r="BA54" s="13" t="s"/>
      <c r="BB54" s="1">
        <f>=IF(IF(BA54&lt;&gt;"",IF(AZ54&lt;&gt;"",CEILING(((AZ54-BA54)/AZ54)*100,1),IF(AND(O54&lt;&gt;"",O54&gt;0),CEILING((((O54-BA54)/O54)*100),1),"")),"")&gt;=0,IF(BA54&lt;&gt;"",IF(AZ54&lt;&gt;"",CEILING(((AZ54-BA54)/AZ54)*100,1),IF(AND(O54&lt;&gt;"",O54&gt;0),CEILING((((O54-BA54)/O54)*100),1),"")),""), "Ошибка: цена до скидки должна быть больше текущей.")</f>
      </c>
      <c r="BC54" s="13" t="s"/>
      <c r="BD54" s="13" t="s"/>
      <c r="BE54" s="13" t="s"/>
      <c r="BF54" s="13" t="s"/>
      <c r="BG54" s="13" t="s"/>
      <c r="BH54" s="13" t="s"/>
      <c r="BI54" s="13" t="s"/>
    </row>
    <row r="55" ht="20" customHeight="true">
      <c r="A55" s="13" t="s">
        <v>289</v>
      </c>
      <c r="B55" s="13">
        <v>1906397535</v>
      </c>
      <c r="C55" s="13" t="s">
        <v>290</v>
      </c>
      <c r="D55" s="13" t="s">
        <v>126</v>
      </c>
      <c r="E55" s="13" t="s">
        <v>127</v>
      </c>
      <c r="F55" s="13">
        <v>0</v>
      </c>
      <c r="G55" s="13">
        <v>0</v>
      </c>
      <c r="H55" s="13">
        <v>0.2</v>
      </c>
      <c r="I55" s="13">
        <v>0.1</v>
      </c>
      <c r="J55" s="13" t="s">
        <v>291</v>
      </c>
      <c r="K55" s="13">
        <v>0</v>
      </c>
      <c r="L55" s="13">
        <v>19</v>
      </c>
      <c r="M55" s="13">
        <v>0</v>
      </c>
      <c r="N55" s="13">
        <v>0</v>
      </c>
      <c r="O55" s="13">
        <v>5990</v>
      </c>
      <c r="P55" s="13">
        <v>2580</v>
      </c>
      <c r="Q55" s="13">
        <v>57</v>
      </c>
      <c r="R55" s="13">
        <v>3410</v>
      </c>
      <c r="S55" s="13">
        <v>2100</v>
      </c>
      <c r="T55" s="13">
        <v>65</v>
      </c>
      <c r="U55" s="13">
        <v>3890</v>
      </c>
      <c r="V55" s="13" t="s">
        <v>129</v>
      </c>
      <c r="W55" s="13">
        <v>2222</v>
      </c>
      <c r="X55" s="13" t="s">
        <v>130</v>
      </c>
      <c r="Y55" s="13" t="s">
        <v>131</v>
      </c>
      <c r="Z55" s="13" t="s"/>
      <c r="AA55" s="13" t="s"/>
      <c r="AB55" s="13" t="s"/>
      <c r="AC55" s="13" t="s"/>
      <c r="AD55" s="13" t="s">
        <v>130</v>
      </c>
      <c r="AE55" s="13" t="s">
        <v>130</v>
      </c>
      <c r="AF55" s="13">
        <v>0</v>
      </c>
      <c r="AG55" s="13">
        <v>0</v>
      </c>
      <c r="AH55" s="13">
        <v>0</v>
      </c>
      <c r="AI55" s="13" t="s"/>
      <c r="AJ55" s="13" t="s"/>
      <c r="AK55" s="13" t="s"/>
      <c r="AL55" s="13">
        <v>0</v>
      </c>
      <c r="AM55" s="13">
        <v>0</v>
      </c>
      <c r="AN55" s="13">
        <v>0</v>
      </c>
      <c r="AO55" s="13">
        <v>21</v>
      </c>
      <c r="AP55" s="13">
        <v>34</v>
      </c>
      <c r="AQ55" s="13">
        <v>46.77</v>
      </c>
      <c r="AR55" s="13">
        <v>168.19</v>
      </c>
      <c r="AS55" s="13">
        <v>25</v>
      </c>
      <c r="AT55" s="13">
        <v>43</v>
      </c>
      <c r="AU55" s="13">
        <v>10</v>
      </c>
      <c r="AV55" s="13">
        <v>30</v>
      </c>
      <c r="AW55" s="13">
        <v>81.34</v>
      </c>
      <c r="AX55" s="13">
        <v>81.34</v>
      </c>
      <c r="AY55" s="13">
        <v>25</v>
      </c>
      <c r="AZ55" s="13" t="s"/>
      <c r="BA55" s="13" t="s"/>
      <c r="BB55" s="1">
        <f>=IF(IF(BA55&lt;&gt;"",IF(AZ55&lt;&gt;"",CEILING(((AZ55-BA55)/AZ55)*100,1),IF(AND(O55&lt;&gt;"",O55&gt;0),CEILING((((O55-BA55)/O55)*100),1),"")),"")&gt;=0,IF(BA55&lt;&gt;"",IF(AZ55&lt;&gt;"",CEILING(((AZ55-BA55)/AZ55)*100,1),IF(AND(O55&lt;&gt;"",O55&gt;0),CEILING((((O55-BA55)/O55)*100),1),"")),""), "Ошибка: цена до скидки должна быть больше текущей.")</f>
      </c>
      <c r="BC55" s="13" t="s"/>
      <c r="BD55" s="13" t="s"/>
      <c r="BE55" s="13" t="s"/>
      <c r="BF55" s="13" t="s"/>
      <c r="BG55" s="13" t="s"/>
      <c r="BH55" s="13" t="s"/>
      <c r="BI55" s="13" t="s"/>
    </row>
    <row r="56" ht="20" customHeight="true">
      <c r="A56" s="13" t="s">
        <v>292</v>
      </c>
      <c r="B56" s="13">
        <v>1953717417</v>
      </c>
      <c r="C56" s="13" t="s">
        <v>293</v>
      </c>
      <c r="D56" s="13" t="s">
        <v>134</v>
      </c>
      <c r="E56" s="13" t="s">
        <v>127</v>
      </c>
      <c r="F56" s="13">
        <v>0</v>
      </c>
      <c r="G56" s="13">
        <v>142</v>
      </c>
      <c r="H56" s="13">
        <v>0.4851</v>
      </c>
      <c r="I56" s="13">
        <v>0.1</v>
      </c>
      <c r="J56" s="13" t="s">
        <v>294</v>
      </c>
      <c r="K56" s="13">
        <v>32786.08</v>
      </c>
      <c r="L56" s="13">
        <v>8931</v>
      </c>
      <c r="M56" s="13">
        <v>0.2</v>
      </c>
      <c r="N56" s="13">
        <v>18</v>
      </c>
      <c r="O56" s="13">
        <v>5990</v>
      </c>
      <c r="P56" s="13">
        <v>2980</v>
      </c>
      <c r="Q56" s="13">
        <v>51</v>
      </c>
      <c r="R56" s="13">
        <v>3010</v>
      </c>
      <c r="S56" s="13">
        <v>2000</v>
      </c>
      <c r="T56" s="13">
        <v>77</v>
      </c>
      <c r="U56" s="13">
        <v>4573</v>
      </c>
      <c r="V56" s="13" t="s">
        <v>129</v>
      </c>
      <c r="W56" s="13">
        <v>2200</v>
      </c>
      <c r="X56" s="13" t="s">
        <v>130</v>
      </c>
      <c r="Y56" s="13" t="s">
        <v>131</v>
      </c>
      <c r="Z56" s="13" t="s"/>
      <c r="AA56" s="13" t="s"/>
      <c r="AB56" s="13" t="s"/>
      <c r="AC56" s="13" t="s"/>
      <c r="AD56" s="13" t="s">
        <v>130</v>
      </c>
      <c r="AE56" s="13" t="s">
        <v>272</v>
      </c>
      <c r="AF56" s="13">
        <v>0</v>
      </c>
      <c r="AG56" s="13">
        <v>0</v>
      </c>
      <c r="AH56" s="13">
        <v>0</v>
      </c>
      <c r="AI56" s="13" t="s"/>
      <c r="AJ56" s="13" t="s"/>
      <c r="AK56" s="13" t="s"/>
      <c r="AL56" s="13">
        <v>0</v>
      </c>
      <c r="AM56" s="13">
        <v>0</v>
      </c>
      <c r="AN56" s="13">
        <v>0</v>
      </c>
      <c r="AO56" s="13">
        <v>20</v>
      </c>
      <c r="AP56" s="13">
        <v>34</v>
      </c>
      <c r="AQ56" s="13">
        <v>46.77</v>
      </c>
      <c r="AR56" s="13">
        <v>164.19</v>
      </c>
      <c r="AS56" s="13">
        <v>25</v>
      </c>
      <c r="AT56" s="13">
        <v>43</v>
      </c>
      <c r="AU56" s="13">
        <v>10</v>
      </c>
      <c r="AV56" s="13">
        <v>30</v>
      </c>
      <c r="AW56" s="13">
        <v>81.34</v>
      </c>
      <c r="AX56" s="13">
        <v>81.34</v>
      </c>
      <c r="AY56" s="13">
        <v>25</v>
      </c>
      <c r="AZ56" s="13" t="s"/>
      <c r="BA56" s="13" t="s"/>
      <c r="BB56" s="1">
        <f>=IF(IF(BA56&lt;&gt;"",IF(AZ56&lt;&gt;"",CEILING(((AZ56-BA56)/AZ56)*100,1),IF(AND(O56&lt;&gt;"",O56&gt;0),CEILING((((O56-BA56)/O56)*100),1),"")),"")&gt;=0,IF(BA56&lt;&gt;"",IF(AZ56&lt;&gt;"",CEILING(((AZ56-BA56)/AZ56)*100,1),IF(AND(O56&lt;&gt;"",O56&gt;0),CEILING((((O56-BA56)/O56)*100),1),"")),""), "Ошибка: цена до скидки должна быть больше текущей.")</f>
      </c>
      <c r="BC56" s="13" t="s"/>
      <c r="BD56" s="13" t="s"/>
      <c r="BE56" s="13" t="s"/>
      <c r="BF56" s="13" t="s"/>
      <c r="BG56" s="13" t="s"/>
      <c r="BH56" s="13" t="s"/>
      <c r="BI56" s="13" t="s"/>
    </row>
    <row r="57" ht="20" customHeight="true">
      <c r="A57" s="13" t="s">
        <v>295</v>
      </c>
      <c r="B57" s="13">
        <v>2022811666</v>
      </c>
      <c r="C57" s="13" t="s">
        <v>296</v>
      </c>
      <c r="D57" s="13" t="s">
        <v>126</v>
      </c>
      <c r="E57" s="13" t="s">
        <v>127</v>
      </c>
      <c r="F57" s="13">
        <v>0</v>
      </c>
      <c r="G57" s="13">
        <v>0</v>
      </c>
      <c r="H57" s="13">
        <v>0.68376</v>
      </c>
      <c r="I57" s="13">
        <v>0.1</v>
      </c>
      <c r="J57" s="13" t="s">
        <v>297</v>
      </c>
      <c r="K57" s="13">
        <v>0</v>
      </c>
      <c r="L57" s="13">
        <v>56</v>
      </c>
      <c r="M57" s="13">
        <v>0</v>
      </c>
      <c r="N57" s="13">
        <v>0</v>
      </c>
      <c r="O57" s="13">
        <v>3950</v>
      </c>
      <c r="P57" s="13">
        <v>2100</v>
      </c>
      <c r="Q57" s="13">
        <v>47</v>
      </c>
      <c r="R57" s="13">
        <v>1850</v>
      </c>
      <c r="S57" s="13">
        <v>1908</v>
      </c>
      <c r="T57" s="13">
        <v>64</v>
      </c>
      <c r="U57" s="13">
        <v>2510</v>
      </c>
      <c r="V57" s="13" t="s">
        <v>129</v>
      </c>
      <c r="W57" s="13">
        <v>1777</v>
      </c>
      <c r="X57" s="13" t="s">
        <v>130</v>
      </c>
      <c r="Y57" s="13" t="s">
        <v>131</v>
      </c>
      <c r="Z57" s="13" t="s"/>
      <c r="AA57" s="13" t="s"/>
      <c r="AB57" s="13" t="s"/>
      <c r="AC57" s="13" t="s"/>
      <c r="AD57" s="13" t="s">
        <v>130</v>
      </c>
      <c r="AE57" s="13" t="s">
        <v>272</v>
      </c>
      <c r="AF57" s="13">
        <v>0</v>
      </c>
      <c r="AG57" s="13">
        <v>0</v>
      </c>
      <c r="AH57" s="13">
        <v>0</v>
      </c>
      <c r="AI57" s="13" t="s"/>
      <c r="AJ57" s="13" t="s"/>
      <c r="AK57" s="13" t="s"/>
      <c r="AL57" s="13">
        <v>0</v>
      </c>
      <c r="AM57" s="13">
        <v>0</v>
      </c>
      <c r="AN57" s="13">
        <v>0</v>
      </c>
      <c r="AO57" s="13">
        <v>19.08</v>
      </c>
      <c r="AP57" s="13">
        <v>34</v>
      </c>
      <c r="AQ57" s="13">
        <v>46.77</v>
      </c>
      <c r="AR57" s="13">
        <v>160.51</v>
      </c>
      <c r="AS57" s="13">
        <v>25</v>
      </c>
      <c r="AT57" s="13">
        <v>43</v>
      </c>
      <c r="AU57" s="13">
        <v>10</v>
      </c>
      <c r="AV57" s="13">
        <v>30</v>
      </c>
      <c r="AW57" s="13">
        <v>81.34</v>
      </c>
      <c r="AX57" s="13">
        <v>81.34</v>
      </c>
      <c r="AY57" s="13">
        <v>25</v>
      </c>
      <c r="AZ57" s="13" t="s"/>
      <c r="BA57" s="13" t="s"/>
      <c r="BB57" s="1">
        <f>=IF(IF(BA57&lt;&gt;"",IF(AZ57&lt;&gt;"",CEILING(((AZ57-BA57)/AZ57)*100,1),IF(AND(O57&lt;&gt;"",O57&gt;0),CEILING((((O57-BA57)/O57)*100),1),"")),"")&gt;=0,IF(BA57&lt;&gt;"",IF(AZ57&lt;&gt;"",CEILING(((AZ57-BA57)/AZ57)*100,1),IF(AND(O57&lt;&gt;"",O57&gt;0),CEILING((((O57-BA57)/O57)*100),1),"")),""), "Ошибка: цена до скидки должна быть больше текущей.")</f>
      </c>
      <c r="BC57" s="13" t="s"/>
      <c r="BD57" s="13" t="s"/>
      <c r="BE57" s="13" t="s"/>
      <c r="BF57" s="13" t="s"/>
      <c r="BG57" s="13" t="s"/>
      <c r="BH57" s="13" t="s"/>
      <c r="BI57" s="13" t="s"/>
    </row>
    <row r="58" ht="20" customHeight="true">
      <c r="A58" s="13" t="s">
        <v>298</v>
      </c>
      <c r="B58" s="13">
        <v>2022917896</v>
      </c>
      <c r="C58" s="13" t="s">
        <v>299</v>
      </c>
      <c r="D58" s="13" t="s">
        <v>134</v>
      </c>
      <c r="E58" s="13" t="s">
        <v>127</v>
      </c>
      <c r="F58" s="13">
        <v>0</v>
      </c>
      <c r="G58" s="13">
        <v>93</v>
      </c>
      <c r="H58" s="13">
        <v>0.68376</v>
      </c>
      <c r="I58" s="13">
        <v>0.1</v>
      </c>
      <c r="J58" s="13" t="s">
        <v>300</v>
      </c>
      <c r="K58" s="13">
        <v>30372</v>
      </c>
      <c r="L58" s="13">
        <v>11827</v>
      </c>
      <c r="M58" s="13">
        <v>0.19</v>
      </c>
      <c r="N58" s="13">
        <v>23</v>
      </c>
      <c r="O58" s="13">
        <v>0</v>
      </c>
      <c r="P58" s="13">
        <v>4660</v>
      </c>
      <c r="Q58" s="13">
        <v>0</v>
      </c>
      <c r="R58" s="13">
        <v>0</v>
      </c>
      <c r="S58" s="13">
        <v>1555</v>
      </c>
      <c r="T58" s="13">
        <v>0</v>
      </c>
      <c r="U58" s="13">
        <v>0</v>
      </c>
      <c r="V58" s="13" t="s">
        <v>129</v>
      </c>
      <c r="W58" s="13">
        <v>3333</v>
      </c>
      <c r="X58" s="13" t="s">
        <v>272</v>
      </c>
      <c r="Y58" s="13" t="s">
        <v>273</v>
      </c>
      <c r="Z58" s="13" t="s"/>
      <c r="AA58" s="13" t="s"/>
      <c r="AB58" s="13" t="s"/>
      <c r="AC58" s="13" t="s"/>
      <c r="AD58" s="13" t="s">
        <v>130</v>
      </c>
      <c r="AE58" s="13" t="s">
        <v>272</v>
      </c>
      <c r="AF58" s="13">
        <v>0</v>
      </c>
      <c r="AG58" s="13">
        <v>0</v>
      </c>
      <c r="AH58" s="13">
        <v>0</v>
      </c>
      <c r="AI58" s="13" t="s"/>
      <c r="AJ58" s="13" t="s"/>
      <c r="AK58" s="13" t="s"/>
      <c r="AL58" s="13">
        <v>0</v>
      </c>
      <c r="AM58" s="13">
        <v>0</v>
      </c>
      <c r="AN58" s="13">
        <v>0</v>
      </c>
      <c r="AO58" s="13">
        <v>15.55</v>
      </c>
      <c r="AP58" s="13">
        <v>34</v>
      </c>
      <c r="AQ58" s="13">
        <v>46.77</v>
      </c>
      <c r="AR58" s="13">
        <v>146.39</v>
      </c>
      <c r="AS58" s="13">
        <v>25</v>
      </c>
      <c r="AT58" s="13">
        <v>43</v>
      </c>
      <c r="AU58" s="13">
        <v>10</v>
      </c>
      <c r="AV58" s="13">
        <v>30</v>
      </c>
      <c r="AW58" s="13">
        <v>81.34</v>
      </c>
      <c r="AX58" s="13">
        <v>81.34</v>
      </c>
      <c r="AY58" s="13">
        <v>25</v>
      </c>
      <c r="AZ58" s="13" t="s"/>
      <c r="BA58" s="13" t="s"/>
      <c r="BB58" s="1">
        <f>=IF(IF(BA58&lt;&gt;"",IF(AZ58&lt;&gt;"",CEILING(((AZ58-BA58)/AZ58)*100,1),IF(AND(O58&lt;&gt;"",O58&gt;0),CEILING((((O58-BA58)/O58)*100),1),"")),"")&gt;=0,IF(BA58&lt;&gt;"",IF(AZ58&lt;&gt;"",CEILING(((AZ58-BA58)/AZ58)*100,1),IF(AND(O58&lt;&gt;"",O58&gt;0),CEILING((((O58-BA58)/O58)*100),1),"")),""), "Ошибка: цена до скидки должна быть больше текущей.")</f>
      </c>
      <c r="BC58" s="13" t="s"/>
      <c r="BD58" s="13" t="s"/>
      <c r="BE58" s="13" t="s"/>
      <c r="BF58" s="13" t="s"/>
      <c r="BG58" s="13" t="s"/>
      <c r="BH58" s="13" t="s"/>
      <c r="BI58" s="13" t="s"/>
    </row>
    <row r="59" ht="20" customHeight="true">
      <c r="A59" s="13" t="s">
        <v>301</v>
      </c>
      <c r="B59" s="13">
        <v>2023031914</v>
      </c>
      <c r="C59" s="13" t="s">
        <v>302</v>
      </c>
      <c r="D59" s="13" t="s">
        <v>126</v>
      </c>
      <c r="E59" s="13" t="s">
        <v>127</v>
      </c>
      <c r="F59" s="13">
        <v>0</v>
      </c>
      <c r="G59" s="13">
        <v>0</v>
      </c>
      <c r="H59" s="13">
        <v>0.2</v>
      </c>
      <c r="I59" s="13">
        <v>0.1</v>
      </c>
      <c r="J59" s="13" t="s">
        <v>303</v>
      </c>
      <c r="K59" s="13">
        <v>0</v>
      </c>
      <c r="L59" s="13">
        <v>36</v>
      </c>
      <c r="M59" s="13">
        <v>0</v>
      </c>
      <c r="N59" s="13">
        <v>0</v>
      </c>
      <c r="O59" s="13">
        <v>5990</v>
      </c>
      <c r="P59" s="13">
        <v>3540</v>
      </c>
      <c r="Q59" s="13">
        <v>41</v>
      </c>
      <c r="R59" s="13">
        <v>2450</v>
      </c>
      <c r="S59" s="13">
        <v>2500</v>
      </c>
      <c r="T59" s="13">
        <v>59</v>
      </c>
      <c r="U59" s="13">
        <v>3490</v>
      </c>
      <c r="V59" s="13" t="s">
        <v>129</v>
      </c>
      <c r="W59" s="13" t="s"/>
      <c r="X59" s="13" t="s">
        <v>130</v>
      </c>
      <c r="Y59" s="13" t="s">
        <v>131</v>
      </c>
      <c r="Z59" s="13" t="s"/>
      <c r="AA59" s="13" t="s"/>
      <c r="AB59" s="13" t="s"/>
      <c r="AC59" s="13" t="s"/>
      <c r="AD59" s="13" t="s">
        <v>130</v>
      </c>
      <c r="AE59" s="13" t="s">
        <v>272</v>
      </c>
      <c r="AF59" s="13">
        <v>0</v>
      </c>
      <c r="AG59" s="13">
        <v>0</v>
      </c>
      <c r="AH59" s="13">
        <v>0</v>
      </c>
      <c r="AI59" s="13" t="s"/>
      <c r="AJ59" s="13" t="s"/>
      <c r="AK59" s="13" t="s"/>
      <c r="AL59" s="13">
        <v>0</v>
      </c>
      <c r="AM59" s="13">
        <v>0</v>
      </c>
      <c r="AN59" s="13">
        <v>0</v>
      </c>
      <c r="AO59" s="13">
        <v>25</v>
      </c>
      <c r="AP59" s="13">
        <v>34</v>
      </c>
      <c r="AQ59" s="13">
        <v>46.77</v>
      </c>
      <c r="AR59" s="13">
        <v>184.19</v>
      </c>
      <c r="AS59" s="13">
        <v>25</v>
      </c>
      <c r="AT59" s="13">
        <v>43</v>
      </c>
      <c r="AU59" s="13">
        <v>10</v>
      </c>
      <c r="AV59" s="13">
        <v>30</v>
      </c>
      <c r="AW59" s="13">
        <v>81.34</v>
      </c>
      <c r="AX59" s="13">
        <v>81.34</v>
      </c>
      <c r="AY59" s="13">
        <v>25</v>
      </c>
      <c r="AZ59" s="13" t="s"/>
      <c r="BA59" s="13" t="s"/>
      <c r="BB59" s="1">
        <f>=IF(IF(BA59&lt;&gt;"",IF(AZ59&lt;&gt;"",CEILING(((AZ59-BA59)/AZ59)*100,1),IF(AND(O59&lt;&gt;"",O59&gt;0),CEILING((((O59-BA59)/O59)*100),1),"")),"")&gt;=0,IF(BA59&lt;&gt;"",IF(AZ59&lt;&gt;"",CEILING(((AZ59-BA59)/AZ59)*100,1),IF(AND(O59&lt;&gt;"",O59&gt;0),CEILING((((O59-BA59)/O59)*100),1),"")),""), "Ошибка: цена до скидки должна быть больше текущей.")</f>
      </c>
      <c r="BC59" s="13" t="s"/>
      <c r="BD59" s="13" t="s"/>
      <c r="BE59" s="13" t="s"/>
      <c r="BF59" s="13" t="s"/>
      <c r="BG59" s="13" t="s"/>
      <c r="BH59" s="13" t="s"/>
      <c r="BI59" s="13" t="s"/>
    </row>
    <row r="60" ht="20" customHeight="true">
      <c r="A60" s="13" t="s">
        <v>304</v>
      </c>
      <c r="B60" s="13">
        <v>2354223232</v>
      </c>
      <c r="C60" s="13" t="s">
        <v>305</v>
      </c>
      <c r="D60" s="13" t="s">
        <v>126</v>
      </c>
      <c r="E60" s="13" t="s">
        <v>127</v>
      </c>
      <c r="F60" s="13">
        <v>0</v>
      </c>
      <c r="G60" s="13">
        <v>0</v>
      </c>
      <c r="H60" s="13">
        <v>0.576</v>
      </c>
      <c r="I60" s="13">
        <v>0.1</v>
      </c>
      <c r="J60" s="13" t="s">
        <v>306</v>
      </c>
      <c r="K60" s="13">
        <v>0</v>
      </c>
      <c r="L60" s="13">
        <v>253</v>
      </c>
      <c r="M60" s="13">
        <v>0</v>
      </c>
      <c r="N60" s="13">
        <v>0</v>
      </c>
      <c r="O60" s="13">
        <v>11990</v>
      </c>
      <c r="P60" s="13">
        <v>6950</v>
      </c>
      <c r="Q60" s="13">
        <v>43</v>
      </c>
      <c r="R60" s="13">
        <v>5040</v>
      </c>
      <c r="S60" s="13">
        <v>4444</v>
      </c>
      <c r="T60" s="13">
        <v>73</v>
      </c>
      <c r="U60" s="13">
        <v>8714</v>
      </c>
      <c r="V60" s="13" t="s">
        <v>129</v>
      </c>
      <c r="W60" s="13" t="s"/>
      <c r="X60" s="13" t="s">
        <v>130</v>
      </c>
      <c r="Y60" s="13" t="s">
        <v>131</v>
      </c>
      <c r="Z60" s="13" t="s"/>
      <c r="AA60" s="13" t="s"/>
      <c r="AB60" s="13" t="s"/>
      <c r="AC60" s="13" t="s"/>
      <c r="AD60" s="13" t="s">
        <v>130</v>
      </c>
      <c r="AE60" s="13" t="s">
        <v>272</v>
      </c>
      <c r="AF60" s="13">
        <v>0</v>
      </c>
      <c r="AG60" s="13">
        <v>1282</v>
      </c>
      <c r="AH60" s="13">
        <v>1282</v>
      </c>
      <c r="AI60" s="13" t="s">
        <v>203</v>
      </c>
      <c r="AJ60" s="13" t="s">
        <v>203</v>
      </c>
      <c r="AK60" s="13" t="s">
        <v>137</v>
      </c>
      <c r="AL60" s="13">
        <v>0</v>
      </c>
      <c r="AM60" s="13">
        <v>1.57</v>
      </c>
      <c r="AN60" s="13">
        <v>1.57</v>
      </c>
      <c r="AO60" s="13">
        <v>44.44</v>
      </c>
      <c r="AP60" s="13">
        <v>34</v>
      </c>
      <c r="AQ60" s="13">
        <v>46.77</v>
      </c>
      <c r="AR60" s="13">
        <v>261.95</v>
      </c>
      <c r="AS60" s="13">
        <v>25</v>
      </c>
      <c r="AT60" s="13">
        <v>43</v>
      </c>
      <c r="AU60" s="13">
        <v>10</v>
      </c>
      <c r="AV60" s="13">
        <v>30</v>
      </c>
      <c r="AW60" s="13">
        <v>81.34</v>
      </c>
      <c r="AX60" s="13">
        <v>81.34</v>
      </c>
      <c r="AY60" s="13">
        <v>25</v>
      </c>
      <c r="AZ60" s="13" t="s"/>
      <c r="BA60" s="13" t="s"/>
      <c r="BB60" s="1">
        <f>=IF(IF(BA60&lt;&gt;"",IF(AZ60&lt;&gt;"",CEILING(((AZ60-BA60)/AZ60)*100,1),IF(AND(O60&lt;&gt;"",O60&gt;0),CEILING((((O60-BA60)/O60)*100),1),"")),"")&gt;=0,IF(BA60&lt;&gt;"",IF(AZ60&lt;&gt;"",CEILING(((AZ60-BA60)/AZ60)*100,1),IF(AND(O60&lt;&gt;"",O60&gt;0),CEILING((((O60-BA60)/O60)*100),1),"")),""), "Ошибка: цена до скидки должна быть больше текущей.")</f>
      </c>
      <c r="BC60" s="13" t="s"/>
      <c r="BD60" s="13" t="s"/>
      <c r="BE60" s="13" t="s"/>
      <c r="BF60" s="13" t="s"/>
      <c r="BG60" s="13" t="s"/>
      <c r="BH60" s="13" t="s"/>
      <c r="BI60" s="13" t="s"/>
    </row>
    <row r="61" ht="20" customHeight="true">
      <c r="A61" s="13" t="s">
        <v>307</v>
      </c>
      <c r="B61" s="13">
        <v>2439003425</v>
      </c>
      <c r="C61" s="13" t="s">
        <v>308</v>
      </c>
      <c r="D61" s="13" t="s">
        <v>134</v>
      </c>
      <c r="E61" s="13" t="s">
        <v>127</v>
      </c>
      <c r="F61" s="13">
        <v>0</v>
      </c>
      <c r="G61" s="13">
        <v>32</v>
      </c>
      <c r="H61" s="13">
        <v>0.68376</v>
      </c>
      <c r="I61" s="13">
        <v>0.1</v>
      </c>
      <c r="J61" s="13" t="s">
        <v>309</v>
      </c>
      <c r="K61" s="13">
        <v>17816</v>
      </c>
      <c r="L61" s="13">
        <v>9500</v>
      </c>
      <c r="M61" s="13">
        <v>0.15</v>
      </c>
      <c r="N61" s="13">
        <v>14</v>
      </c>
      <c r="O61" s="13">
        <v>0</v>
      </c>
      <c r="P61" s="13">
        <v>4640</v>
      </c>
      <c r="Q61" s="13">
        <v>0</v>
      </c>
      <c r="R61" s="13">
        <v>0</v>
      </c>
      <c r="S61" s="13">
        <v>1300</v>
      </c>
      <c r="T61" s="13">
        <v>0</v>
      </c>
      <c r="U61" s="13">
        <v>0</v>
      </c>
      <c r="V61" s="13" t="s">
        <v>129</v>
      </c>
      <c r="W61" s="13" t="s"/>
      <c r="X61" s="13" t="s">
        <v>272</v>
      </c>
      <c r="Y61" s="13" t="s">
        <v>273</v>
      </c>
      <c r="Z61" s="13" t="s"/>
      <c r="AA61" s="13" t="s"/>
      <c r="AB61" s="13" t="s"/>
      <c r="AC61" s="13" t="s"/>
      <c r="AD61" s="13" t="s">
        <v>130</v>
      </c>
      <c r="AE61" s="13" t="s">
        <v>272</v>
      </c>
      <c r="AF61" s="13">
        <v>0</v>
      </c>
      <c r="AG61" s="13">
        <v>0</v>
      </c>
      <c r="AH61" s="13">
        <v>0</v>
      </c>
      <c r="AI61" s="13" t="s"/>
      <c r="AJ61" s="13" t="s"/>
      <c r="AK61" s="13" t="s"/>
      <c r="AL61" s="13">
        <v>0</v>
      </c>
      <c r="AM61" s="13">
        <v>0</v>
      </c>
      <c r="AN61" s="13">
        <v>0</v>
      </c>
      <c r="AO61" s="13">
        <v>13</v>
      </c>
      <c r="AP61" s="13">
        <v>34</v>
      </c>
      <c r="AQ61" s="13">
        <v>46.77</v>
      </c>
      <c r="AR61" s="13">
        <v>136.19</v>
      </c>
      <c r="AS61" s="13">
        <v>25</v>
      </c>
      <c r="AT61" s="13">
        <v>43</v>
      </c>
      <c r="AU61" s="13">
        <v>10</v>
      </c>
      <c r="AV61" s="13">
        <v>30</v>
      </c>
      <c r="AW61" s="13">
        <v>81.34</v>
      </c>
      <c r="AX61" s="13">
        <v>81.34</v>
      </c>
      <c r="AY61" s="13">
        <v>25</v>
      </c>
      <c r="AZ61" s="13" t="s"/>
      <c r="BA61" s="13" t="s"/>
      <c r="BB61" s="1">
        <f>=IF(IF(BA61&lt;&gt;"",IF(AZ61&lt;&gt;"",CEILING(((AZ61-BA61)/AZ61)*100,1),IF(AND(O61&lt;&gt;"",O61&gt;0),CEILING((((O61-BA61)/O61)*100),1),"")),"")&gt;=0,IF(BA61&lt;&gt;"",IF(AZ61&lt;&gt;"",CEILING(((AZ61-BA61)/AZ61)*100,1),IF(AND(O61&lt;&gt;"",O61&gt;0),CEILING((((O61-BA61)/O61)*100),1),"")),""), "Ошибка: цена до скидки должна быть больше текущей.")</f>
      </c>
      <c r="BC61" s="13" t="s"/>
      <c r="BD61" s="13" t="s"/>
      <c r="BE61" s="13" t="s"/>
      <c r="BF61" s="13" t="s"/>
      <c r="BG61" s="13" t="s"/>
      <c r="BH61" s="13" t="s"/>
      <c r="BI61" s="13" t="s"/>
    </row>
    <row r="62" ht="20" customHeight="true">
      <c r="A62" s="13" t="s">
        <v>310</v>
      </c>
      <c r="B62" s="13">
        <v>2462457694</v>
      </c>
      <c r="C62" s="13" t="s">
        <v>311</v>
      </c>
      <c r="D62" s="13" t="s">
        <v>134</v>
      </c>
      <c r="E62" s="13" t="s">
        <v>127</v>
      </c>
      <c r="F62" s="13">
        <v>32</v>
      </c>
      <c r="G62" s="13">
        <v>294</v>
      </c>
      <c r="H62" s="13">
        <v>0.76923</v>
      </c>
      <c r="I62" s="13">
        <v>0.2</v>
      </c>
      <c r="J62" s="13" t="s">
        <v>312</v>
      </c>
      <c r="K62" s="13">
        <v>119151</v>
      </c>
      <c r="L62" s="13">
        <v>26767</v>
      </c>
      <c r="M62" s="13">
        <v>0.08</v>
      </c>
      <c r="N62" s="13">
        <v>22</v>
      </c>
      <c r="O62" s="13">
        <v>12990</v>
      </c>
      <c r="P62" s="13">
        <v>5700</v>
      </c>
      <c r="Q62" s="13">
        <v>57</v>
      </c>
      <c r="R62" s="13">
        <v>7290</v>
      </c>
      <c r="S62" s="13">
        <v>4953</v>
      </c>
      <c r="T62" s="13">
        <v>75</v>
      </c>
      <c r="U62" s="13">
        <v>9684</v>
      </c>
      <c r="V62" s="13" t="s">
        <v>129</v>
      </c>
      <c r="W62" s="13">
        <v>5554</v>
      </c>
      <c r="X62" s="13" t="s">
        <v>272</v>
      </c>
      <c r="Y62" s="13" t="s">
        <v>313</v>
      </c>
      <c r="Z62" s="13" t="s"/>
      <c r="AA62" s="13" t="s"/>
      <c r="AB62" s="13" t="s"/>
      <c r="AC62" s="13" t="s"/>
      <c r="AD62" s="13" t="s">
        <v>130</v>
      </c>
      <c r="AE62" s="13" t="s">
        <v>272</v>
      </c>
      <c r="AF62" s="13">
        <v>0</v>
      </c>
      <c r="AG62" s="13">
        <v>2073</v>
      </c>
      <c r="AH62" s="13">
        <v>2073</v>
      </c>
      <c r="AI62" s="13" t="s">
        <v>314</v>
      </c>
      <c r="AJ62" s="13" t="s">
        <v>314</v>
      </c>
      <c r="AK62" s="13" t="s">
        <v>137</v>
      </c>
      <c r="AL62" s="13">
        <v>0</v>
      </c>
      <c r="AM62" s="13">
        <v>1.3</v>
      </c>
      <c r="AN62" s="13">
        <v>1.3</v>
      </c>
      <c r="AO62" s="13">
        <v>49.53</v>
      </c>
      <c r="AP62" s="13">
        <v>34</v>
      </c>
      <c r="AQ62" s="13">
        <v>46.77</v>
      </c>
      <c r="AR62" s="13">
        <v>282.31</v>
      </c>
      <c r="AS62" s="13">
        <v>25</v>
      </c>
      <c r="AT62" s="13">
        <v>43</v>
      </c>
      <c r="AU62" s="13">
        <v>10</v>
      </c>
      <c r="AV62" s="13">
        <v>30</v>
      </c>
      <c r="AW62" s="13">
        <v>81.34</v>
      </c>
      <c r="AX62" s="13">
        <v>81.34</v>
      </c>
      <c r="AY62" s="13">
        <v>25</v>
      </c>
      <c r="AZ62" s="13" t="s"/>
      <c r="BA62" s="13" t="s"/>
      <c r="BB62" s="1">
        <f>=IF(IF(BA62&lt;&gt;"",IF(AZ62&lt;&gt;"",CEILING(((AZ62-BA62)/AZ62)*100,1),IF(AND(O62&lt;&gt;"",O62&gt;0),CEILING((((O62-BA62)/O62)*100),1),"")),"")&gt;=0,IF(BA62&lt;&gt;"",IF(AZ62&lt;&gt;"",CEILING(((AZ62-BA62)/AZ62)*100,1),IF(AND(O62&lt;&gt;"",O62&gt;0),CEILING((((O62-BA62)/O62)*100),1),"")),""), "Ошибка: цена до скидки должна быть больше текущей.")</f>
      </c>
      <c r="BC62" s="13" t="s"/>
      <c r="BD62" s="13" t="s"/>
      <c r="BE62" s="13" t="s"/>
      <c r="BF62" s="13" t="s"/>
      <c r="BG62" s="13" t="s"/>
      <c r="BH62" s="13" t="s"/>
      <c r="BI62" s="13" t="s"/>
    </row>
    <row r="63" ht="20" customHeight="true">
      <c r="A63" s="13" t="s">
        <v>315</v>
      </c>
      <c r="B63" s="13">
        <v>2695175420</v>
      </c>
      <c r="C63" s="13" t="s">
        <v>316</v>
      </c>
      <c r="D63" s="13" t="s">
        <v>134</v>
      </c>
      <c r="E63" s="13" t="s">
        <v>127</v>
      </c>
      <c r="F63" s="13">
        <v>11</v>
      </c>
      <c r="G63" s="13">
        <v>0</v>
      </c>
      <c r="H63" s="13">
        <v>0.68376</v>
      </c>
      <c r="I63" s="13">
        <v>0.1</v>
      </c>
      <c r="J63" s="13" t="s">
        <v>317</v>
      </c>
      <c r="K63" s="13">
        <v>16271</v>
      </c>
      <c r="L63" s="13">
        <v>11895</v>
      </c>
      <c r="M63" s="13">
        <v>0.11</v>
      </c>
      <c r="N63" s="13">
        <v>13</v>
      </c>
      <c r="O63" s="13">
        <v>6999</v>
      </c>
      <c r="P63" s="13">
        <v>2800</v>
      </c>
      <c r="Q63" s="13">
        <v>60</v>
      </c>
      <c r="R63" s="13">
        <v>4199</v>
      </c>
      <c r="S63" s="13">
        <v>1300</v>
      </c>
      <c r="T63" s="13">
        <v>86</v>
      </c>
      <c r="U63" s="13">
        <v>5959</v>
      </c>
      <c r="V63" s="13" t="s">
        <v>129</v>
      </c>
      <c r="W63" s="13">
        <v>2244</v>
      </c>
      <c r="X63" s="13" t="s">
        <v>130</v>
      </c>
      <c r="Y63" s="13" t="s">
        <v>131</v>
      </c>
      <c r="Z63" s="13" t="s"/>
      <c r="AA63" s="13" t="s"/>
      <c r="AB63" s="13" t="s"/>
      <c r="AC63" s="13" t="s"/>
      <c r="AD63" s="13" t="s">
        <v>130</v>
      </c>
      <c r="AE63" s="13" t="s">
        <v>272</v>
      </c>
      <c r="AF63" s="13">
        <v>0</v>
      </c>
      <c r="AG63" s="13">
        <v>0</v>
      </c>
      <c r="AH63" s="13">
        <v>0</v>
      </c>
      <c r="AI63" s="13" t="s"/>
      <c r="AJ63" s="13" t="s"/>
      <c r="AK63" s="13" t="s"/>
      <c r="AL63" s="13">
        <v>0</v>
      </c>
      <c r="AM63" s="13">
        <v>0</v>
      </c>
      <c r="AN63" s="13">
        <v>0</v>
      </c>
      <c r="AO63" s="13">
        <v>13</v>
      </c>
      <c r="AP63" s="13">
        <v>34</v>
      </c>
      <c r="AQ63" s="13">
        <v>46.77</v>
      </c>
      <c r="AR63" s="13">
        <v>136.19</v>
      </c>
      <c r="AS63" s="13">
        <v>25</v>
      </c>
      <c r="AT63" s="13">
        <v>43</v>
      </c>
      <c r="AU63" s="13">
        <v>10</v>
      </c>
      <c r="AV63" s="13">
        <v>30</v>
      </c>
      <c r="AW63" s="13">
        <v>81.34</v>
      </c>
      <c r="AX63" s="13">
        <v>81.34</v>
      </c>
      <c r="AY63" s="13">
        <v>25</v>
      </c>
      <c r="AZ63" s="13" t="s"/>
      <c r="BA63" s="13" t="s"/>
      <c r="BB63" s="1">
        <f>=IF(IF(BA63&lt;&gt;"",IF(AZ63&lt;&gt;"",CEILING(((AZ63-BA63)/AZ63)*100,1),IF(AND(O63&lt;&gt;"",O63&gt;0),CEILING((((O63-BA63)/O63)*100),1),"")),"")&gt;=0,IF(BA63&lt;&gt;"",IF(AZ63&lt;&gt;"",CEILING(((AZ63-BA63)/AZ63)*100,1),IF(AND(O63&lt;&gt;"",O63&gt;0),CEILING((((O63-BA63)/O63)*100),1),"")),""), "Ошибка: цена до скидки должна быть больше текущей.")</f>
      </c>
      <c r="BC63" s="13" t="s"/>
      <c r="BD63" s="13" t="s"/>
      <c r="BE63" s="13" t="s"/>
      <c r="BF63" s="13" t="s"/>
      <c r="BG63" s="13" t="s"/>
      <c r="BH63" s="13" t="s"/>
      <c r="BI63" s="13" t="s"/>
    </row>
    <row r="64" ht="20" customHeight="true">
      <c r="A64" s="13" t="s">
        <v>318</v>
      </c>
      <c r="B64" s="13">
        <v>3114601132</v>
      </c>
      <c r="C64" s="13" t="s">
        <v>319</v>
      </c>
      <c r="D64" s="13" t="s">
        <v>134</v>
      </c>
      <c r="E64" s="13" t="s">
        <v>127</v>
      </c>
      <c r="F64" s="13">
        <v>91</v>
      </c>
      <c r="G64" s="13">
        <v>233</v>
      </c>
      <c r="H64" s="13">
        <v>0.76923</v>
      </c>
      <c r="I64" s="13">
        <v>0.2</v>
      </c>
      <c r="J64" s="13" t="s">
        <v>320</v>
      </c>
      <c r="K64" s="13">
        <v>18541</v>
      </c>
      <c r="L64" s="13">
        <v>7033</v>
      </c>
      <c r="M64" s="13">
        <v>0.14</v>
      </c>
      <c r="N64" s="13">
        <v>10</v>
      </c>
      <c r="O64" s="13">
        <v>0</v>
      </c>
      <c r="P64" s="13">
        <v>2870</v>
      </c>
      <c r="Q64" s="13">
        <v>0</v>
      </c>
      <c r="R64" s="13">
        <v>0</v>
      </c>
      <c r="S64" s="13">
        <v>2000</v>
      </c>
      <c r="T64" s="13">
        <v>0</v>
      </c>
      <c r="U64" s="13">
        <v>0</v>
      </c>
      <c r="V64" s="13" t="s">
        <v>129</v>
      </c>
      <c r="W64" s="13" t="s"/>
      <c r="X64" s="13" t="s">
        <v>272</v>
      </c>
      <c r="Y64" s="13" t="s">
        <v>273</v>
      </c>
      <c r="Z64" s="13" t="s"/>
      <c r="AA64" s="13" t="s"/>
      <c r="AB64" s="13" t="s"/>
      <c r="AC64" s="13" t="s"/>
      <c r="AD64" s="13" t="s">
        <v>130</v>
      </c>
      <c r="AE64" s="13" t="s">
        <v>272</v>
      </c>
      <c r="AF64" s="13">
        <v>0</v>
      </c>
      <c r="AG64" s="13">
        <v>0</v>
      </c>
      <c r="AH64" s="13">
        <v>0</v>
      </c>
      <c r="AI64" s="13" t="s"/>
      <c r="AJ64" s="13" t="s"/>
      <c r="AK64" s="13" t="s"/>
      <c r="AL64" s="13">
        <v>0</v>
      </c>
      <c r="AM64" s="13">
        <v>0</v>
      </c>
      <c r="AN64" s="13">
        <v>0</v>
      </c>
      <c r="AO64" s="13">
        <v>20</v>
      </c>
      <c r="AP64" s="13">
        <v>34</v>
      </c>
      <c r="AQ64" s="13">
        <v>46.77</v>
      </c>
      <c r="AR64" s="13">
        <v>164.19</v>
      </c>
      <c r="AS64" s="13">
        <v>25</v>
      </c>
      <c r="AT64" s="13">
        <v>43</v>
      </c>
      <c r="AU64" s="13">
        <v>10</v>
      </c>
      <c r="AV64" s="13">
        <v>30</v>
      </c>
      <c r="AW64" s="13">
        <v>81.34</v>
      </c>
      <c r="AX64" s="13">
        <v>81.34</v>
      </c>
      <c r="AY64" s="13">
        <v>25</v>
      </c>
      <c r="AZ64" s="13" t="s"/>
      <c r="BA64" s="13" t="s"/>
      <c r="BB64" s="1">
        <f>=IF(IF(BA64&lt;&gt;"",IF(AZ64&lt;&gt;"",CEILING(((AZ64-BA64)/AZ64)*100,1),IF(AND(O64&lt;&gt;"",O64&gt;0),CEILING((((O64-BA64)/O64)*100),1),"")),"")&gt;=0,IF(BA64&lt;&gt;"",IF(AZ64&lt;&gt;"",CEILING(((AZ64-BA64)/AZ64)*100,1),IF(AND(O64&lt;&gt;"",O64&gt;0),CEILING((((O64-BA64)/O64)*100),1),"")),""), "Ошибка: цена до скидки должна быть больше текущей.")</f>
      </c>
      <c r="BC64" s="13" t="s"/>
      <c r="BD64" s="13" t="s"/>
      <c r="BE64" s="13" t="s"/>
      <c r="BF64" s="13" t="s"/>
      <c r="BG64" s="13" t="s"/>
      <c r="BH64" s="13" t="s"/>
      <c r="BI64" s="13" t="s"/>
    </row>
    <row r="65" ht="20" customHeight="true">
      <c r="A65" s="13" t="s">
        <v>321</v>
      </c>
      <c r="B65" s="13">
        <v>3203823149</v>
      </c>
      <c r="C65" s="13" t="s">
        <v>322</v>
      </c>
      <c r="D65" s="13" t="s">
        <v>134</v>
      </c>
      <c r="E65" s="13" t="s">
        <v>127</v>
      </c>
      <c r="F65" s="13">
        <v>9</v>
      </c>
      <c r="G65" s="13">
        <v>77</v>
      </c>
      <c r="H65" s="13">
        <v>0.658119</v>
      </c>
      <c r="I65" s="13">
        <v>0.1</v>
      </c>
      <c r="J65" s="13" t="s">
        <v>323</v>
      </c>
      <c r="K65" s="13">
        <v>72176.04</v>
      </c>
      <c r="L65" s="13">
        <v>11602</v>
      </c>
      <c r="M65" s="13">
        <v>0.22</v>
      </c>
      <c r="N65" s="13">
        <v>25</v>
      </c>
      <c r="O65" s="13">
        <v>9990</v>
      </c>
      <c r="P65" s="13">
        <v>6870</v>
      </c>
      <c r="Q65" s="13">
        <v>32</v>
      </c>
      <c r="R65" s="13">
        <v>3120</v>
      </c>
      <c r="S65" s="13">
        <v>3300</v>
      </c>
      <c r="T65" s="13">
        <v>76</v>
      </c>
      <c r="U65" s="13">
        <v>7564</v>
      </c>
      <c r="V65" s="13" t="s">
        <v>129</v>
      </c>
      <c r="W65" s="13" t="s"/>
      <c r="X65" s="13" t="s">
        <v>130</v>
      </c>
      <c r="Y65" s="13" t="s">
        <v>131</v>
      </c>
      <c r="Z65" s="13" t="s"/>
      <c r="AA65" s="13" t="s"/>
      <c r="AB65" s="13" t="s"/>
      <c r="AC65" s="13" t="s"/>
      <c r="AD65" s="13" t="s">
        <v>130</v>
      </c>
      <c r="AE65" s="13" t="s">
        <v>272</v>
      </c>
      <c r="AF65" s="13">
        <v>0</v>
      </c>
      <c r="AG65" s="13">
        <v>2073</v>
      </c>
      <c r="AH65" s="13">
        <v>2073</v>
      </c>
      <c r="AI65" s="13" t="s">
        <v>314</v>
      </c>
      <c r="AJ65" s="13" t="s">
        <v>314</v>
      </c>
      <c r="AK65" s="13" t="s">
        <v>324</v>
      </c>
      <c r="AL65" s="13">
        <v>0</v>
      </c>
      <c r="AM65" s="13">
        <v>1.05</v>
      </c>
      <c r="AN65" s="13">
        <v>1.05</v>
      </c>
      <c r="AO65" s="13">
        <v>33</v>
      </c>
      <c r="AP65" s="13">
        <v>34</v>
      </c>
      <c r="AQ65" s="13">
        <v>46.77</v>
      </c>
      <c r="AR65" s="13">
        <v>216.19</v>
      </c>
      <c r="AS65" s="13">
        <v>25</v>
      </c>
      <c r="AT65" s="13">
        <v>43</v>
      </c>
      <c r="AU65" s="13">
        <v>10</v>
      </c>
      <c r="AV65" s="13">
        <v>30</v>
      </c>
      <c r="AW65" s="13">
        <v>81.34</v>
      </c>
      <c r="AX65" s="13">
        <v>81.34</v>
      </c>
      <c r="AY65" s="13">
        <v>25</v>
      </c>
      <c r="AZ65" s="13" t="s"/>
      <c r="BA65" s="13" t="s"/>
      <c r="BB65" s="1">
        <f>=IF(IF(BA65&lt;&gt;"",IF(AZ65&lt;&gt;"",CEILING(((AZ65-BA65)/AZ65)*100,1),IF(AND(O65&lt;&gt;"",O65&gt;0),CEILING((((O65-BA65)/O65)*100),1),"")),"")&gt;=0,IF(BA65&lt;&gt;"",IF(AZ65&lt;&gt;"",CEILING(((AZ65-BA65)/AZ65)*100,1),IF(AND(O65&lt;&gt;"",O65&gt;0),CEILING((((O65-BA65)/O65)*100),1),"")),""), "Ошибка: цена до скидки должна быть больше текущей.")</f>
      </c>
      <c r="BC65" s="13" t="s"/>
      <c r="BD65" s="13" t="s"/>
      <c r="BE65" s="13" t="s"/>
      <c r="BF65" s="13" t="s"/>
      <c r="BG65" s="13" t="s"/>
      <c r="BH65" s="13" t="s"/>
      <c r="BI65" s="13" t="s"/>
    </row>
    <row r="66" ht="20" customHeight="true">
      <c r="A66" s="13" t="s">
        <v>325</v>
      </c>
      <c r="B66" s="13">
        <v>3264843536</v>
      </c>
      <c r="C66" s="13" t="s">
        <v>326</v>
      </c>
      <c r="D66" s="13" t="s">
        <v>126</v>
      </c>
      <c r="E66" s="13" t="s">
        <v>127</v>
      </c>
      <c r="F66" s="13">
        <v>0</v>
      </c>
      <c r="G66" s="13">
        <v>0</v>
      </c>
      <c r="H66" s="13">
        <v>0.483516</v>
      </c>
      <c r="I66" s="13">
        <v>0.1</v>
      </c>
      <c r="J66" s="13" t="s">
        <v>327</v>
      </c>
      <c r="K66" s="13">
        <v>0</v>
      </c>
      <c r="L66" s="13">
        <v>307</v>
      </c>
      <c r="M66" s="13">
        <v>0</v>
      </c>
      <c r="N66" s="13">
        <v>0</v>
      </c>
      <c r="O66" s="13">
        <v>29990</v>
      </c>
      <c r="P66" s="13">
        <v>18970</v>
      </c>
      <c r="Q66" s="13">
        <v>37</v>
      </c>
      <c r="R66" s="13">
        <v>11020</v>
      </c>
      <c r="S66" s="13">
        <v>16000</v>
      </c>
      <c r="T66" s="13">
        <v>63</v>
      </c>
      <c r="U66" s="13">
        <v>18658</v>
      </c>
      <c r="V66" s="13" t="s">
        <v>129</v>
      </c>
      <c r="W66" s="13" t="s"/>
      <c r="X66" s="13" t="s">
        <v>130</v>
      </c>
      <c r="Y66" s="13" t="s">
        <v>131</v>
      </c>
      <c r="Z66" s="13" t="s"/>
      <c r="AA66" s="13" t="s"/>
      <c r="AB66" s="13" t="s"/>
      <c r="AC66" s="13" t="s"/>
      <c r="AD66" s="13" t="s">
        <v>130</v>
      </c>
      <c r="AE66" s="13" t="s">
        <v>272</v>
      </c>
      <c r="AF66" s="13">
        <v>0</v>
      </c>
      <c r="AG66" s="13">
        <v>0</v>
      </c>
      <c r="AH66" s="13">
        <v>0</v>
      </c>
      <c r="AI66" s="13" t="s"/>
      <c r="AJ66" s="13" t="s"/>
      <c r="AK66" s="13" t="s"/>
      <c r="AL66" s="13">
        <v>0</v>
      </c>
      <c r="AM66" s="13">
        <v>0</v>
      </c>
      <c r="AN66" s="13">
        <v>0</v>
      </c>
      <c r="AO66" s="13">
        <v>160</v>
      </c>
      <c r="AP66" s="13">
        <v>34</v>
      </c>
      <c r="AQ66" s="13">
        <v>46.77</v>
      </c>
      <c r="AR66" s="13">
        <v>724.19</v>
      </c>
      <c r="AS66" s="13">
        <v>25</v>
      </c>
      <c r="AT66" s="13">
        <v>43</v>
      </c>
      <c r="AU66" s="13">
        <v>10</v>
      </c>
      <c r="AV66" s="13">
        <v>30</v>
      </c>
      <c r="AW66" s="13">
        <v>81.34</v>
      </c>
      <c r="AX66" s="13">
        <v>81.34</v>
      </c>
      <c r="AY66" s="13">
        <v>25</v>
      </c>
      <c r="AZ66" s="13" t="s"/>
      <c r="BA66" s="13" t="s"/>
      <c r="BB66" s="1">
        <f>=IF(IF(BA66&lt;&gt;"",IF(AZ66&lt;&gt;"",CEILING(((AZ66-BA66)/AZ66)*100,1),IF(AND(O66&lt;&gt;"",O66&gt;0),CEILING((((O66-BA66)/O66)*100),1),"")),"")&gt;=0,IF(BA66&lt;&gt;"",IF(AZ66&lt;&gt;"",CEILING(((AZ66-BA66)/AZ66)*100,1),IF(AND(O66&lt;&gt;"",O66&gt;0),CEILING((((O66-BA66)/O66)*100),1),"")),""), "Ошибка: цена до скидки должна быть больше текущей.")</f>
      </c>
      <c r="BC66" s="13" t="s"/>
      <c r="BD66" s="13" t="s"/>
      <c r="BE66" s="13" t="s"/>
      <c r="BF66" s="13" t="s"/>
      <c r="BG66" s="13" t="s"/>
      <c r="BH66" s="13" t="s"/>
      <c r="BI66" s="13" t="s"/>
    </row>
    <row r="67" ht="20" customHeight="true">
      <c r="A67" s="13" t="s">
        <v>328</v>
      </c>
      <c r="B67" s="13">
        <v>3365822340</v>
      </c>
      <c r="C67" s="13" t="s">
        <v>329</v>
      </c>
      <c r="D67" s="13" t="s">
        <v>126</v>
      </c>
      <c r="E67" s="13" t="s">
        <v>127</v>
      </c>
      <c r="F67" s="13">
        <v>0</v>
      </c>
      <c r="G67" s="13">
        <v>0</v>
      </c>
      <c r="H67" s="13">
        <v>0.483516</v>
      </c>
      <c r="I67" s="13">
        <v>0.1</v>
      </c>
      <c r="J67" s="13" t="s">
        <v>330</v>
      </c>
      <c r="K67" s="13">
        <v>0</v>
      </c>
      <c r="L67" s="13">
        <v>341</v>
      </c>
      <c r="M67" s="13">
        <v>0</v>
      </c>
      <c r="N67" s="13">
        <v>0</v>
      </c>
      <c r="O67" s="13">
        <v>29990</v>
      </c>
      <c r="P67" s="13">
        <v>14787</v>
      </c>
      <c r="Q67" s="13">
        <v>51</v>
      </c>
      <c r="R67" s="13">
        <v>15203</v>
      </c>
      <c r="S67" s="13">
        <v>14787</v>
      </c>
      <c r="T67" s="13">
        <v>66</v>
      </c>
      <c r="U67" s="13">
        <v>19519</v>
      </c>
      <c r="V67" s="13" t="s">
        <v>129</v>
      </c>
      <c r="W67" s="13">
        <v>12000</v>
      </c>
      <c r="X67" s="13" t="s">
        <v>130</v>
      </c>
      <c r="Y67" s="13" t="s">
        <v>131</v>
      </c>
      <c r="Z67" s="13" t="s"/>
      <c r="AA67" s="13" t="s"/>
      <c r="AB67" s="13" t="s"/>
      <c r="AC67" s="13" t="s"/>
      <c r="AD67" s="13" t="s">
        <v>130</v>
      </c>
      <c r="AE67" s="13" t="s">
        <v>272</v>
      </c>
      <c r="AF67" s="13">
        <v>0</v>
      </c>
      <c r="AG67" s="13">
        <v>0</v>
      </c>
      <c r="AH67" s="13">
        <v>0</v>
      </c>
      <c r="AI67" s="13" t="s"/>
      <c r="AJ67" s="13" t="s"/>
      <c r="AK67" s="13" t="s"/>
      <c r="AL67" s="13">
        <v>0</v>
      </c>
      <c r="AM67" s="13">
        <v>0</v>
      </c>
      <c r="AN67" s="13">
        <v>0</v>
      </c>
      <c r="AO67" s="13">
        <v>147.87</v>
      </c>
      <c r="AP67" s="13">
        <v>34</v>
      </c>
      <c r="AQ67" s="13">
        <v>46.77</v>
      </c>
      <c r="AR67" s="13">
        <v>675.67</v>
      </c>
      <c r="AS67" s="13">
        <v>25</v>
      </c>
      <c r="AT67" s="13">
        <v>43</v>
      </c>
      <c r="AU67" s="13">
        <v>10</v>
      </c>
      <c r="AV67" s="13">
        <v>30</v>
      </c>
      <c r="AW67" s="13">
        <v>81.34</v>
      </c>
      <c r="AX67" s="13">
        <v>81.34</v>
      </c>
      <c r="AY67" s="13">
        <v>25</v>
      </c>
      <c r="AZ67" s="13" t="s"/>
      <c r="BA67" s="13" t="s"/>
      <c r="BB67" s="1">
        <f>=IF(IF(BA67&lt;&gt;"",IF(AZ67&lt;&gt;"",CEILING(((AZ67-BA67)/AZ67)*100,1),IF(AND(O67&lt;&gt;"",O67&gt;0),CEILING((((O67-BA67)/O67)*100),1),"")),"")&gt;=0,IF(BA67&lt;&gt;"",IF(AZ67&lt;&gt;"",CEILING(((AZ67-BA67)/AZ67)*100,1),IF(AND(O67&lt;&gt;"",O67&gt;0),CEILING((((O67-BA67)/O67)*100),1),"")),""), "Ошибка: цена до скидки должна быть больше текущей.")</f>
      </c>
      <c r="BC67" s="13" t="s"/>
      <c r="BD67" s="13" t="s"/>
      <c r="BE67" s="13" t="s"/>
      <c r="BF67" s="13" t="s"/>
      <c r="BG67" s="13" t="s"/>
      <c r="BH67" s="13" t="s"/>
      <c r="BI67" s="13" t="s"/>
    </row>
    <row r="68" ht="20" customHeight="true">
      <c r="A68" s="13" t="s">
        <v>331</v>
      </c>
      <c r="B68" s="13">
        <v>3417910233</v>
      </c>
      <c r="C68" s="13" t="s">
        <v>332</v>
      </c>
      <c r="D68" s="13" t="s">
        <v>134</v>
      </c>
      <c r="E68" s="13" t="s">
        <v>127</v>
      </c>
      <c r="F68" s="13">
        <v>0</v>
      </c>
      <c r="G68" s="13">
        <v>64</v>
      </c>
      <c r="H68" s="13">
        <v>0.335775</v>
      </c>
      <c r="I68" s="13">
        <v>0.1</v>
      </c>
      <c r="J68" s="13" t="s">
        <v>333</v>
      </c>
      <c r="K68" s="13">
        <v>73677</v>
      </c>
      <c r="L68" s="13">
        <v>17118</v>
      </c>
      <c r="M68" s="13">
        <v>0.27</v>
      </c>
      <c r="N68" s="13">
        <v>47</v>
      </c>
      <c r="O68" s="13">
        <v>0</v>
      </c>
      <c r="P68" s="13">
        <v>3590</v>
      </c>
      <c r="Q68" s="13">
        <v>0</v>
      </c>
      <c r="R68" s="13">
        <v>0</v>
      </c>
      <c r="S68" s="13">
        <v>1700</v>
      </c>
      <c r="T68" s="13">
        <v>0</v>
      </c>
      <c r="U68" s="13">
        <v>0</v>
      </c>
      <c r="V68" s="13" t="s">
        <v>129</v>
      </c>
      <c r="W68" s="13" t="s"/>
      <c r="X68" s="13" t="s">
        <v>272</v>
      </c>
      <c r="Y68" s="13" t="s">
        <v>273</v>
      </c>
      <c r="Z68" s="13" t="s"/>
      <c r="AA68" s="13" t="s"/>
      <c r="AB68" s="13" t="s"/>
      <c r="AC68" s="13" t="s"/>
      <c r="AD68" s="13" t="s">
        <v>130</v>
      </c>
      <c r="AE68" s="13" t="s">
        <v>272</v>
      </c>
      <c r="AF68" s="13">
        <v>0</v>
      </c>
      <c r="AG68" s="13">
        <v>864</v>
      </c>
      <c r="AH68" s="13">
        <v>864</v>
      </c>
      <c r="AI68" s="13" t="s">
        <v>213</v>
      </c>
      <c r="AJ68" s="13" t="s">
        <v>213</v>
      </c>
      <c r="AK68" s="13" t="s">
        <v>137</v>
      </c>
      <c r="AL68" s="13">
        <v>0</v>
      </c>
      <c r="AM68" s="13">
        <v>1.14</v>
      </c>
      <c r="AN68" s="13">
        <v>1.14</v>
      </c>
      <c r="AO68" s="13">
        <v>17</v>
      </c>
      <c r="AP68" s="13">
        <v>34</v>
      </c>
      <c r="AQ68" s="13">
        <v>46.77</v>
      </c>
      <c r="AR68" s="13">
        <v>152.19</v>
      </c>
      <c r="AS68" s="13">
        <v>25</v>
      </c>
      <c r="AT68" s="13">
        <v>43</v>
      </c>
      <c r="AU68" s="13">
        <v>10</v>
      </c>
      <c r="AV68" s="13">
        <v>30</v>
      </c>
      <c r="AW68" s="13">
        <v>81.34</v>
      </c>
      <c r="AX68" s="13">
        <v>81.34</v>
      </c>
      <c r="AY68" s="13">
        <v>25</v>
      </c>
      <c r="AZ68" s="13" t="s"/>
      <c r="BA68" s="13" t="s"/>
      <c r="BB68" s="1">
        <f>=IF(IF(BA68&lt;&gt;"",IF(AZ68&lt;&gt;"",CEILING(((AZ68-BA68)/AZ68)*100,1),IF(AND(O68&lt;&gt;"",O68&gt;0),CEILING((((O68-BA68)/O68)*100),1),"")),"")&gt;=0,IF(BA68&lt;&gt;"",IF(AZ68&lt;&gt;"",CEILING(((AZ68-BA68)/AZ68)*100,1),IF(AND(O68&lt;&gt;"",O68&gt;0),CEILING((((O68-BA68)/O68)*100),1),"")),""), "Ошибка: цена до скидки должна быть больше текущей.")</f>
      </c>
      <c r="BC68" s="13" t="s"/>
      <c r="BD68" s="13" t="s"/>
      <c r="BE68" s="13" t="s"/>
      <c r="BF68" s="13" t="s"/>
      <c r="BG68" s="13" t="s"/>
      <c r="BH68" s="13" t="s"/>
      <c r="BI68" s="13" t="s"/>
    </row>
    <row r="69" ht="20" customHeight="true">
      <c r="A69" s="13" t="s">
        <v>334</v>
      </c>
      <c r="B69" s="13">
        <v>3424445844</v>
      </c>
      <c r="C69" s="13" t="s">
        <v>335</v>
      </c>
      <c r="D69" s="13" t="s">
        <v>134</v>
      </c>
      <c r="E69" s="13" t="s">
        <v>127</v>
      </c>
      <c r="F69" s="13">
        <v>0</v>
      </c>
      <c r="G69" s="13">
        <v>41</v>
      </c>
      <c r="H69" s="13">
        <v>0.4851</v>
      </c>
      <c r="I69" s="13">
        <v>0.1</v>
      </c>
      <c r="J69" s="13" t="s">
        <v>336</v>
      </c>
      <c r="K69" s="13">
        <v>28000.13</v>
      </c>
      <c r="L69" s="13">
        <v>4195</v>
      </c>
      <c r="M69" s="13">
        <v>0.38</v>
      </c>
      <c r="N69" s="13">
        <v>16</v>
      </c>
      <c r="O69" s="13">
        <v>0</v>
      </c>
      <c r="P69" s="13">
        <v>5180</v>
      </c>
      <c r="Q69" s="13">
        <v>0</v>
      </c>
      <c r="R69" s="13">
        <v>0</v>
      </c>
      <c r="S69" s="13">
        <v>2300</v>
      </c>
      <c r="T69" s="13">
        <v>0</v>
      </c>
      <c r="U69" s="13">
        <v>0</v>
      </c>
      <c r="V69" s="13" t="s">
        <v>129</v>
      </c>
      <c r="W69" s="13" t="s"/>
      <c r="X69" s="13" t="s">
        <v>272</v>
      </c>
      <c r="Y69" s="13" t="s">
        <v>273</v>
      </c>
      <c r="Z69" s="13" t="s"/>
      <c r="AA69" s="13" t="s"/>
      <c r="AB69" s="13" t="s"/>
      <c r="AC69" s="13" t="s"/>
      <c r="AD69" s="13" t="s">
        <v>130</v>
      </c>
      <c r="AE69" s="13" t="s">
        <v>272</v>
      </c>
      <c r="AF69" s="13">
        <v>0</v>
      </c>
      <c r="AG69" s="13">
        <v>0</v>
      </c>
      <c r="AH69" s="13">
        <v>0</v>
      </c>
      <c r="AI69" s="13" t="s"/>
      <c r="AJ69" s="13" t="s"/>
      <c r="AK69" s="13" t="s"/>
      <c r="AL69" s="13">
        <v>0</v>
      </c>
      <c r="AM69" s="13">
        <v>0</v>
      </c>
      <c r="AN69" s="13">
        <v>0</v>
      </c>
      <c r="AO69" s="13">
        <v>23</v>
      </c>
      <c r="AP69" s="13">
        <v>34</v>
      </c>
      <c r="AQ69" s="13">
        <v>46.77</v>
      </c>
      <c r="AR69" s="13">
        <v>176.19</v>
      </c>
      <c r="AS69" s="13">
        <v>25</v>
      </c>
      <c r="AT69" s="13">
        <v>43</v>
      </c>
      <c r="AU69" s="13">
        <v>10</v>
      </c>
      <c r="AV69" s="13">
        <v>30</v>
      </c>
      <c r="AW69" s="13">
        <v>81.34</v>
      </c>
      <c r="AX69" s="13">
        <v>81.34</v>
      </c>
      <c r="AY69" s="13">
        <v>25</v>
      </c>
      <c r="AZ69" s="13" t="s"/>
      <c r="BA69" s="13" t="s"/>
      <c r="BB69" s="1">
        <f>=IF(IF(BA69&lt;&gt;"",IF(AZ69&lt;&gt;"",CEILING(((AZ69-BA69)/AZ69)*100,1),IF(AND(O69&lt;&gt;"",O69&gt;0),CEILING((((O69-BA69)/O69)*100),1),"")),"")&gt;=0,IF(BA69&lt;&gt;"",IF(AZ69&lt;&gt;"",CEILING(((AZ69-BA69)/AZ69)*100,1),IF(AND(O69&lt;&gt;"",O69&gt;0),CEILING((((O69-BA69)/O69)*100),1),"")),""), "Ошибка: цена до скидки должна быть больше текущей.")</f>
      </c>
      <c r="BC69" s="13" t="s"/>
      <c r="BD69" s="13" t="s"/>
      <c r="BE69" s="13" t="s"/>
      <c r="BF69" s="13" t="s"/>
      <c r="BG69" s="13" t="s"/>
      <c r="BH69" s="13" t="s"/>
      <c r="BI69" s="13" t="s"/>
    </row>
    <row r="70" ht="20" customHeight="true">
      <c r="A70" s="13" t="s">
        <v>337</v>
      </c>
      <c r="B70" s="13">
        <v>3446776795</v>
      </c>
      <c r="C70" s="13" t="s">
        <v>338</v>
      </c>
      <c r="D70" s="13" t="s">
        <v>134</v>
      </c>
      <c r="E70" s="13" t="s">
        <v>127</v>
      </c>
      <c r="F70" s="13">
        <v>0</v>
      </c>
      <c r="G70" s="13">
        <v>40</v>
      </c>
      <c r="H70" s="13">
        <v>0.36</v>
      </c>
      <c r="I70" s="13">
        <v>0.1</v>
      </c>
      <c r="J70" s="13" t="s">
        <v>339</v>
      </c>
      <c r="K70" s="13">
        <v>12904</v>
      </c>
      <c r="L70" s="13">
        <v>9014</v>
      </c>
      <c r="M70" s="13">
        <v>0.09</v>
      </c>
      <c r="N70" s="13">
        <v>8</v>
      </c>
      <c r="O70" s="13">
        <v>0</v>
      </c>
      <c r="P70" s="13">
        <v>5640</v>
      </c>
      <c r="Q70" s="13">
        <v>0</v>
      </c>
      <c r="R70" s="13">
        <v>0</v>
      </c>
      <c r="S70" s="13">
        <v>1800</v>
      </c>
      <c r="T70" s="13">
        <v>0</v>
      </c>
      <c r="U70" s="13">
        <v>0</v>
      </c>
      <c r="V70" s="13" t="s">
        <v>129</v>
      </c>
      <c r="W70" s="13" t="s"/>
      <c r="X70" s="13" t="s">
        <v>272</v>
      </c>
      <c r="Y70" s="13" t="s">
        <v>273</v>
      </c>
      <c r="Z70" s="13" t="s"/>
      <c r="AA70" s="13" t="s"/>
      <c r="AB70" s="13" t="s"/>
      <c r="AC70" s="13" t="s"/>
      <c r="AD70" s="13" t="s">
        <v>130</v>
      </c>
      <c r="AE70" s="13" t="s">
        <v>272</v>
      </c>
      <c r="AF70" s="13">
        <v>0</v>
      </c>
      <c r="AG70" s="13">
        <v>0</v>
      </c>
      <c r="AH70" s="13">
        <v>0</v>
      </c>
      <c r="AI70" s="13" t="s"/>
      <c r="AJ70" s="13" t="s"/>
      <c r="AK70" s="13" t="s"/>
      <c r="AL70" s="13">
        <v>0</v>
      </c>
      <c r="AM70" s="13">
        <v>0</v>
      </c>
      <c r="AN70" s="13">
        <v>0</v>
      </c>
      <c r="AO70" s="13">
        <v>18</v>
      </c>
      <c r="AP70" s="13">
        <v>34</v>
      </c>
      <c r="AQ70" s="13">
        <v>46.77</v>
      </c>
      <c r="AR70" s="13">
        <v>156.19</v>
      </c>
      <c r="AS70" s="13">
        <v>25</v>
      </c>
      <c r="AT70" s="13">
        <v>43</v>
      </c>
      <c r="AU70" s="13">
        <v>10</v>
      </c>
      <c r="AV70" s="13">
        <v>30</v>
      </c>
      <c r="AW70" s="13">
        <v>81.34</v>
      </c>
      <c r="AX70" s="13">
        <v>81.34</v>
      </c>
      <c r="AY70" s="13">
        <v>25</v>
      </c>
      <c r="AZ70" s="13" t="s"/>
      <c r="BA70" s="13" t="s"/>
      <c r="BB70" s="1">
        <f>=IF(IF(BA70&lt;&gt;"",IF(AZ70&lt;&gt;"",CEILING(((AZ70-BA70)/AZ70)*100,1),IF(AND(O70&lt;&gt;"",O70&gt;0),CEILING((((O70-BA70)/O70)*100),1),"")),"")&gt;=0,IF(BA70&lt;&gt;"",IF(AZ70&lt;&gt;"",CEILING(((AZ70-BA70)/AZ70)*100,1),IF(AND(O70&lt;&gt;"",O70&gt;0),CEILING((((O70-BA70)/O70)*100),1),"")),""), "Ошибка: цена до скидки должна быть больше текущей.")</f>
      </c>
      <c r="BC70" s="13" t="s"/>
      <c r="BD70" s="13" t="s"/>
      <c r="BE70" s="13" t="s"/>
      <c r="BF70" s="13" t="s"/>
      <c r="BG70" s="13" t="s"/>
      <c r="BH70" s="13" t="s"/>
      <c r="BI70" s="13" t="s"/>
    </row>
    <row r="71" ht="20" customHeight="true">
      <c r="A71" s="13" t="s">
        <v>340</v>
      </c>
      <c r="B71" s="13">
        <v>3446813299</v>
      </c>
      <c r="C71" s="13" t="s">
        <v>341</v>
      </c>
      <c r="D71" s="13" t="s">
        <v>134</v>
      </c>
      <c r="E71" s="13" t="s">
        <v>127</v>
      </c>
      <c r="F71" s="13">
        <v>0</v>
      </c>
      <c r="G71" s="13">
        <v>81</v>
      </c>
      <c r="H71" s="13">
        <v>0.5082</v>
      </c>
      <c r="I71" s="13">
        <v>0.1</v>
      </c>
      <c r="J71" s="13" t="s">
        <v>342</v>
      </c>
      <c r="K71" s="13">
        <v>2128</v>
      </c>
      <c r="L71" s="13">
        <v>4848</v>
      </c>
      <c r="M71" s="13">
        <v>0.04</v>
      </c>
      <c r="N71" s="13">
        <v>2</v>
      </c>
      <c r="O71" s="13">
        <v>0</v>
      </c>
      <c r="P71" s="13">
        <v>4940</v>
      </c>
      <c r="Q71" s="13">
        <v>0</v>
      </c>
      <c r="R71" s="13">
        <v>0</v>
      </c>
      <c r="S71" s="13">
        <v>1500</v>
      </c>
      <c r="T71" s="13">
        <v>0</v>
      </c>
      <c r="U71" s="13">
        <v>0</v>
      </c>
      <c r="V71" s="13" t="s">
        <v>129</v>
      </c>
      <c r="W71" s="13" t="s"/>
      <c r="X71" s="13" t="s">
        <v>272</v>
      </c>
      <c r="Y71" s="13" t="s">
        <v>273</v>
      </c>
      <c r="Z71" s="13" t="s"/>
      <c r="AA71" s="13" t="s"/>
      <c r="AB71" s="13" t="s"/>
      <c r="AC71" s="13" t="s"/>
      <c r="AD71" s="13" t="s">
        <v>130</v>
      </c>
      <c r="AE71" s="13" t="s">
        <v>272</v>
      </c>
      <c r="AF71" s="13">
        <v>0</v>
      </c>
      <c r="AG71" s="13">
        <v>0</v>
      </c>
      <c r="AH71" s="13">
        <v>0</v>
      </c>
      <c r="AI71" s="13" t="s"/>
      <c r="AJ71" s="13" t="s"/>
      <c r="AK71" s="13" t="s"/>
      <c r="AL71" s="13">
        <v>0</v>
      </c>
      <c r="AM71" s="13">
        <v>0</v>
      </c>
      <c r="AN71" s="13">
        <v>0</v>
      </c>
      <c r="AO71" s="13">
        <v>15</v>
      </c>
      <c r="AP71" s="13">
        <v>34</v>
      </c>
      <c r="AQ71" s="13">
        <v>46.77</v>
      </c>
      <c r="AR71" s="13">
        <v>144.19</v>
      </c>
      <c r="AS71" s="13">
        <v>25</v>
      </c>
      <c r="AT71" s="13">
        <v>43</v>
      </c>
      <c r="AU71" s="13">
        <v>10</v>
      </c>
      <c r="AV71" s="13">
        <v>30</v>
      </c>
      <c r="AW71" s="13">
        <v>81.34</v>
      </c>
      <c r="AX71" s="13">
        <v>81.34</v>
      </c>
      <c r="AY71" s="13">
        <v>25</v>
      </c>
      <c r="AZ71" s="13" t="s"/>
      <c r="BA71" s="13" t="s"/>
      <c r="BB71" s="1">
        <f>=IF(IF(BA71&lt;&gt;"",IF(AZ71&lt;&gt;"",CEILING(((AZ71-BA71)/AZ71)*100,1),IF(AND(O71&lt;&gt;"",O71&gt;0),CEILING((((O71-BA71)/O71)*100),1),"")),"")&gt;=0,IF(BA71&lt;&gt;"",IF(AZ71&lt;&gt;"",CEILING(((AZ71-BA71)/AZ71)*100,1),IF(AND(O71&lt;&gt;"",O71&gt;0),CEILING((((O71-BA71)/O71)*100),1),"")),""), "Ошибка: цена до скидки должна быть больше текущей.")</f>
      </c>
      <c r="BC71" s="13" t="s"/>
      <c r="BD71" s="13" t="s"/>
      <c r="BE71" s="13" t="s"/>
      <c r="BF71" s="13" t="s"/>
      <c r="BG71" s="13" t="s"/>
      <c r="BH71" s="13" t="s"/>
      <c r="BI71" s="13" t="s"/>
    </row>
    <row r="72" ht="20" customHeight="true">
      <c r="A72" s="13" t="s">
        <v>343</v>
      </c>
      <c r="B72" s="13">
        <v>3488313345</v>
      </c>
      <c r="C72" s="13" t="s">
        <v>344</v>
      </c>
      <c r="D72" s="13" t="s">
        <v>134</v>
      </c>
      <c r="E72" s="13" t="s">
        <v>127</v>
      </c>
      <c r="F72" s="13">
        <v>0</v>
      </c>
      <c r="G72" s="13">
        <v>91</v>
      </c>
      <c r="H72" s="13">
        <v>0.4026</v>
      </c>
      <c r="I72" s="13">
        <v>0.1</v>
      </c>
      <c r="J72" s="13" t="s">
        <v>345</v>
      </c>
      <c r="K72" s="13">
        <v>4790</v>
      </c>
      <c r="L72" s="13">
        <v>2441</v>
      </c>
      <c r="M72" s="13">
        <v>0.04</v>
      </c>
      <c r="N72" s="13">
        <v>1</v>
      </c>
      <c r="O72" s="13">
        <v>16990</v>
      </c>
      <c r="P72" s="13">
        <v>8180</v>
      </c>
      <c r="Q72" s="13">
        <v>52</v>
      </c>
      <c r="R72" s="13">
        <v>8810</v>
      </c>
      <c r="S72" s="13">
        <v>4200</v>
      </c>
      <c r="T72" s="13">
        <v>82</v>
      </c>
      <c r="U72" s="13">
        <v>13769</v>
      </c>
      <c r="V72" s="13" t="s">
        <v>129</v>
      </c>
      <c r="W72" s="13" t="s"/>
      <c r="X72" s="13" t="s">
        <v>272</v>
      </c>
      <c r="Y72" s="13" t="s">
        <v>129</v>
      </c>
      <c r="Z72" s="13" t="s"/>
      <c r="AA72" s="13" t="s"/>
      <c r="AB72" s="13" t="s"/>
      <c r="AC72" s="13" t="s"/>
      <c r="AD72" s="13" t="s">
        <v>130</v>
      </c>
      <c r="AE72" s="13" t="s">
        <v>272</v>
      </c>
      <c r="AF72" s="13">
        <v>0</v>
      </c>
      <c r="AG72" s="13">
        <v>0</v>
      </c>
      <c r="AH72" s="13">
        <v>0</v>
      </c>
      <c r="AI72" s="13" t="s"/>
      <c r="AJ72" s="13" t="s"/>
      <c r="AK72" s="13" t="s"/>
      <c r="AL72" s="13">
        <v>0</v>
      </c>
      <c r="AM72" s="13">
        <v>0</v>
      </c>
      <c r="AN72" s="13">
        <v>0</v>
      </c>
      <c r="AO72" s="13">
        <v>42</v>
      </c>
      <c r="AP72" s="13">
        <v>34</v>
      </c>
      <c r="AQ72" s="13">
        <v>46.77</v>
      </c>
      <c r="AR72" s="13">
        <v>252.19</v>
      </c>
      <c r="AS72" s="13">
        <v>25</v>
      </c>
      <c r="AT72" s="13">
        <v>43</v>
      </c>
      <c r="AU72" s="13">
        <v>10</v>
      </c>
      <c r="AV72" s="13">
        <v>30</v>
      </c>
      <c r="AW72" s="13">
        <v>81.34</v>
      </c>
      <c r="AX72" s="13">
        <v>81.34</v>
      </c>
      <c r="AY72" s="13">
        <v>25</v>
      </c>
      <c r="AZ72" s="13" t="s"/>
      <c r="BA72" s="13" t="s"/>
      <c r="BB72" s="1">
        <f>=IF(IF(BA72&lt;&gt;"",IF(AZ72&lt;&gt;"",CEILING(((AZ72-BA72)/AZ72)*100,1),IF(AND(O72&lt;&gt;"",O72&gt;0),CEILING((((O72-BA72)/O72)*100),1),"")),"")&gt;=0,IF(BA72&lt;&gt;"",IF(AZ72&lt;&gt;"",CEILING(((AZ72-BA72)/AZ72)*100,1),IF(AND(O72&lt;&gt;"",O72&gt;0),CEILING((((O72-BA72)/O72)*100),1),"")),""), "Ошибка: цена до скидки должна быть больше текущей.")</f>
      </c>
      <c r="BC72" s="13" t="s"/>
      <c r="BD72" s="13" t="s"/>
      <c r="BE72" s="13" t="s"/>
      <c r="BF72" s="13" t="s"/>
      <c r="BG72" s="13" t="s"/>
      <c r="BH72" s="13" t="s"/>
      <c r="BI72" s="13" t="s"/>
    </row>
    <row r="73" ht="20" customHeight="true">
      <c r="A73" s="13" t="s">
        <v>346</v>
      </c>
      <c r="B73" s="13">
        <v>3537409273</v>
      </c>
      <c r="C73" s="13" t="s">
        <v>347</v>
      </c>
      <c r="D73" s="13" t="s">
        <v>143</v>
      </c>
      <c r="E73" s="13" t="s">
        <v>144</v>
      </c>
      <c r="F73" s="13">
        <v>0</v>
      </c>
      <c r="G73" s="13">
        <v>0</v>
      </c>
      <c r="H73" s="13">
        <v>0.4026</v>
      </c>
      <c r="I73" s="13">
        <v>0.1</v>
      </c>
      <c r="J73" s="13" t="s">
        <v>348</v>
      </c>
      <c r="K73" s="13">
        <v>0</v>
      </c>
      <c r="L73" s="13">
        <v>3</v>
      </c>
      <c r="M73" s="13">
        <v>0</v>
      </c>
      <c r="N73" s="13">
        <v>0</v>
      </c>
      <c r="O73" s="13">
        <v>9990</v>
      </c>
      <c r="P73" s="13">
        <v>2296</v>
      </c>
      <c r="Q73" s="13">
        <v>78</v>
      </c>
      <c r="R73" s="13">
        <v>7694</v>
      </c>
      <c r="S73" s="13">
        <v>1666</v>
      </c>
      <c r="T73" s="13">
        <v>88</v>
      </c>
      <c r="U73" s="13">
        <v>8741</v>
      </c>
      <c r="V73" s="13" t="s">
        <v>129</v>
      </c>
      <c r="W73" s="13" t="s"/>
      <c r="X73" s="13" t="s">
        <v>272</v>
      </c>
      <c r="Y73" s="13" t="s">
        <v>349</v>
      </c>
      <c r="Z73" s="13" t="s"/>
      <c r="AA73" s="13" t="s"/>
      <c r="AB73" s="13" t="s"/>
      <c r="AC73" s="13" t="s"/>
      <c r="AD73" s="13" t="s">
        <v>130</v>
      </c>
      <c r="AE73" s="13" t="s">
        <v>272</v>
      </c>
      <c r="AF73" s="13">
        <v>0</v>
      </c>
      <c r="AG73" s="13">
        <v>0</v>
      </c>
      <c r="AH73" s="13">
        <v>0</v>
      </c>
      <c r="AI73" s="13" t="s"/>
      <c r="AJ73" s="13" t="s"/>
      <c r="AK73" s="13" t="s"/>
      <c r="AL73" s="13">
        <v>0</v>
      </c>
      <c r="AM73" s="13">
        <v>0</v>
      </c>
      <c r="AN73" s="13">
        <v>0</v>
      </c>
      <c r="AO73" s="13">
        <v>16.66</v>
      </c>
      <c r="AP73" s="13">
        <v>34</v>
      </c>
      <c r="AQ73" s="13">
        <v>46.77</v>
      </c>
      <c r="AR73" s="13">
        <v>150.83</v>
      </c>
      <c r="AS73" s="13">
        <v>25</v>
      </c>
      <c r="AT73" s="13">
        <v>43</v>
      </c>
      <c r="AU73" s="13">
        <v>10</v>
      </c>
      <c r="AV73" s="13">
        <v>30</v>
      </c>
      <c r="AW73" s="13">
        <v>81.34</v>
      </c>
      <c r="AX73" s="13">
        <v>81.34</v>
      </c>
      <c r="AY73" s="13">
        <v>25</v>
      </c>
      <c r="AZ73" s="13" t="s"/>
      <c r="BA73" s="13" t="s"/>
      <c r="BB73" s="1">
        <f>=IF(IF(BA73&lt;&gt;"",IF(AZ73&lt;&gt;"",CEILING(((AZ73-BA73)/AZ73)*100,1),IF(AND(O73&lt;&gt;"",O73&gt;0),CEILING((((O73-BA73)/O73)*100),1),"")),"")&gt;=0,IF(BA73&lt;&gt;"",IF(AZ73&lt;&gt;"",CEILING(((AZ73-BA73)/AZ73)*100,1),IF(AND(O73&lt;&gt;"",O73&gt;0),CEILING((((O73-BA73)/O73)*100),1),"")),""), "Ошибка: цена до скидки должна быть больше текущей.")</f>
      </c>
      <c r="BC73" s="13" t="s"/>
      <c r="BD73" s="13" t="s"/>
      <c r="BE73" s="13" t="s"/>
      <c r="BF73" s="13" t="s"/>
      <c r="BG73" s="13" t="s"/>
      <c r="BH73" s="13" t="s"/>
      <c r="BI73" s="13" t="s"/>
    </row>
    <row r="74" ht="20" customHeight="true">
      <c r="A74" s="13" t="s">
        <v>350</v>
      </c>
      <c r="B74" s="13">
        <v>3540145514</v>
      </c>
      <c r="C74" s="13" t="s">
        <v>351</v>
      </c>
      <c r="D74" s="13" t="s">
        <v>126</v>
      </c>
      <c r="E74" s="13" t="s">
        <v>127</v>
      </c>
      <c r="F74" s="13">
        <v>0</v>
      </c>
      <c r="G74" s="13">
        <v>0</v>
      </c>
      <c r="H74" s="13">
        <v>0.4026</v>
      </c>
      <c r="I74" s="13">
        <v>0.1</v>
      </c>
      <c r="J74" s="13" t="s">
        <v>352</v>
      </c>
      <c r="K74" s="13">
        <v>0</v>
      </c>
      <c r="L74" s="13">
        <v>259</v>
      </c>
      <c r="M74" s="13">
        <v>0</v>
      </c>
      <c r="N74" s="13">
        <v>0</v>
      </c>
      <c r="O74" s="13">
        <v>16990</v>
      </c>
      <c r="P74" s="13">
        <v>9180</v>
      </c>
      <c r="Q74" s="13">
        <v>46</v>
      </c>
      <c r="R74" s="13">
        <v>7810</v>
      </c>
      <c r="S74" s="13">
        <v>4000</v>
      </c>
      <c r="T74" s="13">
        <v>82</v>
      </c>
      <c r="U74" s="13">
        <v>13927</v>
      </c>
      <c r="V74" s="13" t="s">
        <v>129</v>
      </c>
      <c r="W74" s="13" t="s"/>
      <c r="X74" s="13" t="s">
        <v>272</v>
      </c>
      <c r="Y74" s="13" t="s">
        <v>349</v>
      </c>
      <c r="Z74" s="13" t="s"/>
      <c r="AA74" s="13" t="s"/>
      <c r="AB74" s="13" t="s"/>
      <c r="AC74" s="13" t="s"/>
      <c r="AD74" s="13" t="s">
        <v>130</v>
      </c>
      <c r="AE74" s="13" t="s">
        <v>272</v>
      </c>
      <c r="AF74" s="13">
        <v>0</v>
      </c>
      <c r="AG74" s="13">
        <v>0</v>
      </c>
      <c r="AH74" s="13">
        <v>0</v>
      </c>
      <c r="AI74" s="13" t="s"/>
      <c r="AJ74" s="13" t="s"/>
      <c r="AK74" s="13" t="s"/>
      <c r="AL74" s="13">
        <v>0</v>
      </c>
      <c r="AM74" s="13">
        <v>0</v>
      </c>
      <c r="AN74" s="13">
        <v>0</v>
      </c>
      <c r="AO74" s="13">
        <v>40</v>
      </c>
      <c r="AP74" s="13">
        <v>34</v>
      </c>
      <c r="AQ74" s="13">
        <v>46.77</v>
      </c>
      <c r="AR74" s="13">
        <v>244.19</v>
      </c>
      <c r="AS74" s="13">
        <v>25</v>
      </c>
      <c r="AT74" s="13">
        <v>43</v>
      </c>
      <c r="AU74" s="13">
        <v>10</v>
      </c>
      <c r="AV74" s="13">
        <v>30</v>
      </c>
      <c r="AW74" s="13">
        <v>81.34</v>
      </c>
      <c r="AX74" s="13">
        <v>81.34</v>
      </c>
      <c r="AY74" s="13">
        <v>25</v>
      </c>
      <c r="AZ74" s="13" t="s"/>
      <c r="BA74" s="13" t="s"/>
      <c r="BB74" s="1">
        <f>=IF(IF(BA74&lt;&gt;"",IF(AZ74&lt;&gt;"",CEILING(((AZ74-BA74)/AZ74)*100,1),IF(AND(O74&lt;&gt;"",O74&gt;0),CEILING((((O74-BA74)/O74)*100),1),"")),"")&gt;=0,IF(BA74&lt;&gt;"",IF(AZ74&lt;&gt;"",CEILING(((AZ74-BA74)/AZ74)*100,1),IF(AND(O74&lt;&gt;"",O74&gt;0),CEILING((((O74-BA74)/O74)*100),1),"")),""), "Ошибка: цена до скидки должна быть больше текущей.")</f>
      </c>
      <c r="BC74" s="13" t="s"/>
      <c r="BD74" s="13" t="s"/>
      <c r="BE74" s="13" t="s"/>
      <c r="BF74" s="13" t="s"/>
      <c r="BG74" s="13" t="s"/>
      <c r="BH74" s="13" t="s"/>
      <c r="BI74" s="13" t="s"/>
    </row>
    <row r="75" ht="20" customHeight="true">
      <c r="A75" s="13" t="s">
        <v>353</v>
      </c>
      <c r="B75" s="13">
        <v>3550558518</v>
      </c>
      <c r="C75" s="13" t="s">
        <v>354</v>
      </c>
      <c r="D75" s="13" t="s">
        <v>134</v>
      </c>
      <c r="E75" s="13" t="s">
        <v>127</v>
      </c>
      <c r="F75" s="13">
        <v>0</v>
      </c>
      <c r="G75" s="13">
        <v>76</v>
      </c>
      <c r="H75" s="13">
        <v>0.335775</v>
      </c>
      <c r="I75" s="13">
        <v>0.1</v>
      </c>
      <c r="J75" s="13" t="s">
        <v>355</v>
      </c>
      <c r="K75" s="13">
        <v>17969</v>
      </c>
      <c r="L75" s="13">
        <v>1840</v>
      </c>
      <c r="M75" s="13">
        <v>0.33</v>
      </c>
      <c r="N75" s="13">
        <v>6</v>
      </c>
      <c r="O75" s="13">
        <v>7990</v>
      </c>
      <c r="P75" s="13">
        <v>4590</v>
      </c>
      <c r="Q75" s="13">
        <v>43</v>
      </c>
      <c r="R75" s="13">
        <v>3400</v>
      </c>
      <c r="S75" s="13">
        <v>3200</v>
      </c>
      <c r="T75" s="13">
        <v>75</v>
      </c>
      <c r="U75" s="13">
        <v>5936</v>
      </c>
      <c r="V75" s="13" t="s">
        <v>129</v>
      </c>
      <c r="W75" s="13">
        <v>2500</v>
      </c>
      <c r="X75" s="13" t="s">
        <v>272</v>
      </c>
      <c r="Y75" s="13" t="s">
        <v>356</v>
      </c>
      <c r="Z75" s="13" t="s"/>
      <c r="AA75" s="13" t="s"/>
      <c r="AB75" s="13" t="s"/>
      <c r="AC75" s="13" t="s"/>
      <c r="AD75" s="13" t="s">
        <v>130</v>
      </c>
      <c r="AE75" s="13" t="s">
        <v>272</v>
      </c>
      <c r="AF75" s="13">
        <v>0</v>
      </c>
      <c r="AG75" s="13">
        <v>0</v>
      </c>
      <c r="AH75" s="13">
        <v>0</v>
      </c>
      <c r="AI75" s="13" t="s"/>
      <c r="AJ75" s="13" t="s"/>
      <c r="AK75" s="13" t="s"/>
      <c r="AL75" s="13">
        <v>0</v>
      </c>
      <c r="AM75" s="13">
        <v>0</v>
      </c>
      <c r="AN75" s="13">
        <v>0</v>
      </c>
      <c r="AO75" s="13">
        <v>32</v>
      </c>
      <c r="AP75" s="13">
        <v>34</v>
      </c>
      <c r="AQ75" s="13">
        <v>46.77</v>
      </c>
      <c r="AR75" s="13">
        <v>212.19</v>
      </c>
      <c r="AS75" s="13">
        <v>25</v>
      </c>
      <c r="AT75" s="13">
        <v>43</v>
      </c>
      <c r="AU75" s="13">
        <v>10</v>
      </c>
      <c r="AV75" s="13">
        <v>30</v>
      </c>
      <c r="AW75" s="13">
        <v>81.34</v>
      </c>
      <c r="AX75" s="13">
        <v>81.34</v>
      </c>
      <c r="AY75" s="13">
        <v>25</v>
      </c>
      <c r="AZ75" s="13" t="s"/>
      <c r="BA75" s="13" t="s"/>
      <c r="BB75" s="1">
        <f>=IF(IF(BA75&lt;&gt;"",IF(AZ75&lt;&gt;"",CEILING(((AZ75-BA75)/AZ75)*100,1),IF(AND(O75&lt;&gt;"",O75&gt;0),CEILING((((O75-BA75)/O75)*100),1),"")),"")&gt;=0,IF(BA75&lt;&gt;"",IF(AZ75&lt;&gt;"",CEILING(((AZ75-BA75)/AZ75)*100,1),IF(AND(O75&lt;&gt;"",O75&gt;0),CEILING((((O75-BA75)/O75)*100),1),"")),""), "Ошибка: цена до скидки должна быть больше текущей.")</f>
      </c>
      <c r="BC75" s="13" t="s"/>
      <c r="BD75" s="13" t="s"/>
      <c r="BE75" s="13" t="s"/>
      <c r="BF75" s="13" t="s"/>
      <c r="BG75" s="13" t="s"/>
      <c r="BH75" s="13" t="s"/>
      <c r="BI75" s="13" t="s"/>
    </row>
    <row r="76" ht="20" customHeight="true">
      <c r="A76" s="13" t="s">
        <v>357</v>
      </c>
      <c r="B76" s="13">
        <v>3553435313</v>
      </c>
      <c r="C76" s="13" t="s">
        <v>347</v>
      </c>
      <c r="D76" s="13" t="s">
        <v>134</v>
      </c>
      <c r="E76" s="13" t="s">
        <v>127</v>
      </c>
      <c r="F76" s="13">
        <v>0</v>
      </c>
      <c r="G76" s="13">
        <v>44</v>
      </c>
      <c r="H76" s="13">
        <v>0.335775</v>
      </c>
      <c r="I76" s="13">
        <v>0.1</v>
      </c>
      <c r="J76" s="13" t="s">
        <v>358</v>
      </c>
      <c r="K76" s="13">
        <v>104610.42</v>
      </c>
      <c r="L76" s="13">
        <v>20053</v>
      </c>
      <c r="M76" s="13">
        <v>0.42</v>
      </c>
      <c r="N76" s="13">
        <v>84</v>
      </c>
      <c r="O76" s="13">
        <v>5990</v>
      </c>
      <c r="P76" s="13">
        <v>1800</v>
      </c>
      <c r="Q76" s="13">
        <v>70</v>
      </c>
      <c r="R76" s="13">
        <v>4190</v>
      </c>
      <c r="S76" s="13">
        <v>1413</v>
      </c>
      <c r="T76" s="13">
        <v>84</v>
      </c>
      <c r="U76" s="13">
        <v>5004</v>
      </c>
      <c r="V76" s="13" t="s">
        <v>129</v>
      </c>
      <c r="W76" s="13" t="s"/>
      <c r="X76" s="13" t="s">
        <v>272</v>
      </c>
      <c r="Y76" s="13" t="s">
        <v>359</v>
      </c>
      <c r="Z76" s="13" t="s"/>
      <c r="AA76" s="13" t="s"/>
      <c r="AB76" s="13" t="s"/>
      <c r="AC76" s="13" t="s"/>
      <c r="AD76" s="13" t="s">
        <v>130</v>
      </c>
      <c r="AE76" s="13" t="s">
        <v>272</v>
      </c>
      <c r="AF76" s="13">
        <v>0</v>
      </c>
      <c r="AG76" s="13">
        <v>0</v>
      </c>
      <c r="AH76" s="13">
        <v>0</v>
      </c>
      <c r="AI76" s="13" t="s"/>
      <c r="AJ76" s="13" t="s"/>
      <c r="AK76" s="13" t="s"/>
      <c r="AL76" s="13">
        <v>0</v>
      </c>
      <c r="AM76" s="13">
        <v>0</v>
      </c>
      <c r="AN76" s="13">
        <v>0</v>
      </c>
      <c r="AO76" s="13">
        <v>14.13</v>
      </c>
      <c r="AP76" s="13">
        <v>34</v>
      </c>
      <c r="AQ76" s="13">
        <v>46.77</v>
      </c>
      <c r="AR76" s="13">
        <v>140.71</v>
      </c>
      <c r="AS76" s="13">
        <v>25</v>
      </c>
      <c r="AT76" s="13">
        <v>43</v>
      </c>
      <c r="AU76" s="13">
        <v>10</v>
      </c>
      <c r="AV76" s="13">
        <v>30</v>
      </c>
      <c r="AW76" s="13">
        <v>81.34</v>
      </c>
      <c r="AX76" s="13">
        <v>81.34</v>
      </c>
      <c r="AY76" s="13">
        <v>25</v>
      </c>
      <c r="AZ76" s="13" t="s"/>
      <c r="BA76" s="13" t="s"/>
      <c r="BB76" s="1">
        <f>=IF(IF(BA76&lt;&gt;"",IF(AZ76&lt;&gt;"",CEILING(((AZ76-BA76)/AZ76)*100,1),IF(AND(O76&lt;&gt;"",O76&gt;0),CEILING((((O76-BA76)/O76)*100),1),"")),"")&gt;=0,IF(BA76&lt;&gt;"",IF(AZ76&lt;&gt;"",CEILING(((AZ76-BA76)/AZ76)*100,1),IF(AND(O76&lt;&gt;"",O76&gt;0),CEILING((((O76-BA76)/O76)*100),1),"")),""), "Ошибка: цена до скидки должна быть больше текущей.")</f>
      </c>
      <c r="BC76" s="13" t="s"/>
      <c r="BD76" s="13" t="s"/>
      <c r="BE76" s="13" t="s"/>
      <c r="BF76" s="13" t="s"/>
      <c r="BG76" s="13" t="s"/>
      <c r="BH76" s="13" t="s"/>
      <c r="BI76" s="13" t="s"/>
    </row>
  </sheetData>
  <mergeCells count="10">
    <mergeCell ref="A1:J1"/>
    <mergeCell ref="K1:N1"/>
    <mergeCell ref="O1:AE1"/>
    <mergeCell ref="AF1:AJ1"/>
    <mergeCell ref="AK1:AN1"/>
    <mergeCell ref="AO1:AY1"/>
    <mergeCell ref="AZ1:BF1"/>
    <mergeCell ref="BG1:BI1"/>
    <mergeCell ref="Q4:R4"/>
    <mergeCell ref="T4:U4"/>
  </mergeCells>
  <dataValidations count="360">
    <dataValidation type="list" sqref="BC5">
      <formula1>",Не облагается,5"</formula1>
    </dataValidation>
    <dataValidation type="list" sqref="BE5">
      <formula1>",НЕТ,ДА"</formula1>
    </dataValidation>
    <dataValidation type="list" sqref="BG5">
      <formula1>",НЕТ,ДА"</formula1>
    </dataValidation>
    <dataValidation type="list" sqref="BH5">
      <formula1>",НЕТ,ДА"</formula1>
    </dataValidation>
    <dataValidation type="list" sqref="BI5">
      <formula1>",НЕТ,ДА"</formula1>
    </dataValidation>
    <dataValidation type="list" sqref="BC6">
      <formula1>",Не облагается,5"</formula1>
    </dataValidation>
    <dataValidation type="list" sqref="BE6">
      <formula1>",НЕТ,ДА"</formula1>
    </dataValidation>
    <dataValidation type="list" sqref="BG6">
      <formula1>",НЕТ,ДА"</formula1>
    </dataValidation>
    <dataValidation type="list" sqref="BH6">
      <formula1>",НЕТ,ДА"</formula1>
    </dataValidation>
    <dataValidation type="list" sqref="BI6">
      <formula1>",НЕТ,ДА"</formula1>
    </dataValidation>
    <dataValidation type="list" sqref="BC7">
      <formula1>",Не облагается,5"</formula1>
    </dataValidation>
    <dataValidation type="list" sqref="BE7">
      <formula1>",НЕТ,ДА"</formula1>
    </dataValidation>
    <dataValidation type="list" sqref="BG7">
      <formula1>",НЕТ,ДА"</formula1>
    </dataValidation>
    <dataValidation type="list" sqref="BH7">
      <formula1>",НЕТ,ДА"</formula1>
    </dataValidation>
    <dataValidation type="list" sqref="BI7">
      <formula1>",НЕТ,ДА"</formula1>
    </dataValidation>
    <dataValidation type="list" sqref="BC8">
      <formula1>",Не облагается,5"</formula1>
    </dataValidation>
    <dataValidation type="list" sqref="BE8">
      <formula1>",НЕТ,ДА"</formula1>
    </dataValidation>
    <dataValidation type="list" sqref="BG8">
      <formula1>",НЕТ,ДА"</formula1>
    </dataValidation>
    <dataValidation type="list" sqref="BH8">
      <formula1>",НЕТ,ДА"</formula1>
    </dataValidation>
    <dataValidation type="list" sqref="BI8">
      <formula1>",НЕТ,ДА"</formula1>
    </dataValidation>
    <dataValidation type="list" sqref="BC9">
      <formula1>",Не облагается,5"</formula1>
    </dataValidation>
    <dataValidation type="list" sqref="BE9">
      <formula1>",НЕТ,ДА"</formula1>
    </dataValidation>
    <dataValidation type="list" sqref="BG9">
      <formula1>",НЕТ,ДА"</formula1>
    </dataValidation>
    <dataValidation type="list" sqref="BH9">
      <formula1>",НЕТ,ДА"</formula1>
    </dataValidation>
    <dataValidation type="list" sqref="BI9">
      <formula1>",НЕТ,ДА"</formula1>
    </dataValidation>
    <dataValidation type="list" sqref="BC10">
      <formula1>",Не облагается,5"</formula1>
    </dataValidation>
    <dataValidation type="list" sqref="BE10">
      <formula1>",НЕТ,ДА"</formula1>
    </dataValidation>
    <dataValidation type="list" sqref="BG10">
      <formula1>",НЕТ,ДА"</formula1>
    </dataValidation>
    <dataValidation type="list" sqref="BH10">
      <formula1>",НЕТ,ДА"</formula1>
    </dataValidation>
    <dataValidation type="list" sqref="BI10">
      <formula1>",НЕТ,ДА"</formula1>
    </dataValidation>
    <dataValidation type="list" sqref="BC11">
      <formula1>",Не облагается,5"</formula1>
    </dataValidation>
    <dataValidation type="list" sqref="BE11">
      <formula1>",НЕТ,ДА"</formula1>
    </dataValidation>
    <dataValidation type="list" sqref="BG11">
      <formula1>",НЕТ,ДА"</formula1>
    </dataValidation>
    <dataValidation type="list" sqref="BH11">
      <formula1>",НЕТ,ДА"</formula1>
    </dataValidation>
    <dataValidation type="list" sqref="BI11">
      <formula1>",НЕТ,ДА"</formula1>
    </dataValidation>
    <dataValidation type="list" sqref="BC12">
      <formula1>",Не облагается,5"</formula1>
    </dataValidation>
    <dataValidation type="list" sqref="BE12">
      <formula1>",НЕТ,ДА"</formula1>
    </dataValidation>
    <dataValidation type="list" sqref="BG12">
      <formula1>",НЕТ,ДА"</formula1>
    </dataValidation>
    <dataValidation type="list" sqref="BH12">
      <formula1>",НЕТ,ДА"</formula1>
    </dataValidation>
    <dataValidation type="list" sqref="BI12">
      <formula1>",НЕТ,ДА"</formula1>
    </dataValidation>
    <dataValidation type="list" sqref="BC13">
      <formula1>",Не облагается,5"</formula1>
    </dataValidation>
    <dataValidation type="list" sqref="BE13">
      <formula1>",НЕТ,ДА"</formula1>
    </dataValidation>
    <dataValidation type="list" sqref="BG13">
      <formula1>",НЕТ,ДА"</formula1>
    </dataValidation>
    <dataValidation type="list" sqref="BH13">
      <formula1>",НЕТ,ДА"</formula1>
    </dataValidation>
    <dataValidation type="list" sqref="BI13">
      <formula1>",НЕТ,ДА"</formula1>
    </dataValidation>
    <dataValidation type="list" sqref="BC14">
      <formula1>",Не облагается,5"</formula1>
    </dataValidation>
    <dataValidation type="list" sqref="BE14">
      <formula1>",НЕТ,ДА"</formula1>
    </dataValidation>
    <dataValidation type="list" sqref="BG14">
      <formula1>",НЕТ,ДА"</formula1>
    </dataValidation>
    <dataValidation type="list" sqref="BH14">
      <formula1>",НЕТ,ДА"</formula1>
    </dataValidation>
    <dataValidation type="list" sqref="BI14">
      <formula1>",НЕТ,ДА"</formula1>
    </dataValidation>
    <dataValidation type="list" sqref="BC15">
      <formula1>",Не облагается,5"</formula1>
    </dataValidation>
    <dataValidation type="list" sqref="BE15">
      <formula1>",НЕТ,ДА"</formula1>
    </dataValidation>
    <dataValidation type="list" sqref="BG15">
      <formula1>",НЕТ,ДА"</formula1>
    </dataValidation>
    <dataValidation type="list" sqref="BH15">
      <formula1>",НЕТ,ДА"</formula1>
    </dataValidation>
    <dataValidation type="list" sqref="BI15">
      <formula1>",НЕТ,ДА"</formula1>
    </dataValidation>
    <dataValidation type="list" sqref="BC16">
      <formula1>",Не облагается,5"</formula1>
    </dataValidation>
    <dataValidation type="list" sqref="BE16">
      <formula1>",НЕТ,ДА"</formula1>
    </dataValidation>
    <dataValidation type="list" sqref="BG16">
      <formula1>",НЕТ,ДА"</formula1>
    </dataValidation>
    <dataValidation type="list" sqref="BH16">
      <formula1>",НЕТ,ДА"</formula1>
    </dataValidation>
    <dataValidation type="list" sqref="BI16">
      <formula1>",НЕТ,ДА"</formula1>
    </dataValidation>
    <dataValidation type="list" sqref="BC17">
      <formula1>",Не облагается,5"</formula1>
    </dataValidation>
    <dataValidation type="list" sqref="BE17">
      <formula1>",НЕТ,ДА"</formula1>
    </dataValidation>
    <dataValidation type="list" sqref="BG17">
      <formula1>",НЕТ,ДА"</formula1>
    </dataValidation>
    <dataValidation type="list" sqref="BH17">
      <formula1>",НЕТ,ДА"</formula1>
    </dataValidation>
    <dataValidation type="list" sqref="BI17">
      <formula1>",НЕТ,ДА"</formula1>
    </dataValidation>
    <dataValidation type="list" sqref="BC18">
      <formula1>",Не облагается,5"</formula1>
    </dataValidation>
    <dataValidation type="list" sqref="BE18">
      <formula1>",НЕТ,ДА"</formula1>
    </dataValidation>
    <dataValidation type="list" sqref="BG18">
      <formula1>",НЕТ,ДА"</formula1>
    </dataValidation>
    <dataValidation type="list" sqref="BH18">
      <formula1>",НЕТ,ДА"</formula1>
    </dataValidation>
    <dataValidation type="list" sqref="BI18">
      <formula1>",НЕТ,ДА"</formula1>
    </dataValidation>
    <dataValidation type="list" sqref="BC19">
      <formula1>",Не облагается,5"</formula1>
    </dataValidation>
    <dataValidation type="list" sqref="BE19">
      <formula1>",НЕТ,ДА"</formula1>
    </dataValidation>
    <dataValidation type="list" sqref="BG19">
      <formula1>",НЕТ,ДА"</formula1>
    </dataValidation>
    <dataValidation type="list" sqref="BH19">
      <formula1>",НЕТ,ДА"</formula1>
    </dataValidation>
    <dataValidation type="list" sqref="BI19">
      <formula1>",НЕТ,ДА"</formula1>
    </dataValidation>
    <dataValidation type="list" sqref="BC20">
      <formula1>",Не облагается,5"</formula1>
    </dataValidation>
    <dataValidation type="list" sqref="BE20">
      <formula1>",НЕТ,ДА"</formula1>
    </dataValidation>
    <dataValidation type="list" sqref="BG20">
      <formula1>",НЕТ,ДА"</formula1>
    </dataValidation>
    <dataValidation type="list" sqref="BH20">
      <formula1>",НЕТ,ДА"</formula1>
    </dataValidation>
    <dataValidation type="list" sqref="BI20">
      <formula1>",НЕТ,ДА"</formula1>
    </dataValidation>
    <dataValidation type="list" sqref="BC21">
      <formula1>",Не облагается,5"</formula1>
    </dataValidation>
    <dataValidation type="list" sqref="BE21">
      <formula1>",НЕТ,ДА"</formula1>
    </dataValidation>
    <dataValidation type="list" sqref="BG21">
      <formula1>",НЕТ,ДА"</formula1>
    </dataValidation>
    <dataValidation type="list" sqref="BH21">
      <formula1>",НЕТ,ДА"</formula1>
    </dataValidation>
    <dataValidation type="list" sqref="BI21">
      <formula1>",НЕТ,ДА"</formula1>
    </dataValidation>
    <dataValidation type="list" sqref="BC22">
      <formula1>",Не облагается,5"</formula1>
    </dataValidation>
    <dataValidation type="list" sqref="BE22">
      <formula1>",НЕТ,ДА"</formula1>
    </dataValidation>
    <dataValidation type="list" sqref="BG22">
      <formula1>",НЕТ,ДА"</formula1>
    </dataValidation>
    <dataValidation type="list" sqref="BH22">
      <formula1>",НЕТ,ДА"</formula1>
    </dataValidation>
    <dataValidation type="list" sqref="BI22">
      <formula1>",НЕТ,ДА"</formula1>
    </dataValidation>
    <dataValidation type="list" sqref="BC23">
      <formula1>",Не облагается,5"</formula1>
    </dataValidation>
    <dataValidation type="list" sqref="BE23">
      <formula1>",НЕТ,ДА"</formula1>
    </dataValidation>
    <dataValidation type="list" sqref="BG23">
      <formula1>",НЕТ,ДА"</formula1>
    </dataValidation>
    <dataValidation type="list" sqref="BH23">
      <formula1>",НЕТ,ДА"</formula1>
    </dataValidation>
    <dataValidation type="list" sqref="BI23">
      <formula1>",НЕТ,ДА"</formula1>
    </dataValidation>
    <dataValidation type="list" sqref="BC24">
      <formula1>",Не облагается,5"</formula1>
    </dataValidation>
    <dataValidation type="list" sqref="BE24">
      <formula1>",НЕТ,ДА"</formula1>
    </dataValidation>
    <dataValidation type="list" sqref="BG24">
      <formula1>",НЕТ,ДА"</formula1>
    </dataValidation>
    <dataValidation type="list" sqref="BH24">
      <formula1>",НЕТ,ДА"</formula1>
    </dataValidation>
    <dataValidation type="list" sqref="BI24">
      <formula1>",НЕТ,ДА"</formula1>
    </dataValidation>
    <dataValidation type="list" sqref="BC25">
      <formula1>",Не облагается,5"</formula1>
    </dataValidation>
    <dataValidation type="list" sqref="BE25">
      <formula1>",НЕТ,ДА"</formula1>
    </dataValidation>
    <dataValidation type="list" sqref="BG25">
      <formula1>",НЕТ,ДА"</formula1>
    </dataValidation>
    <dataValidation type="list" sqref="BH25">
      <formula1>",НЕТ,ДА"</formula1>
    </dataValidation>
    <dataValidation type="list" sqref="BI25">
      <formula1>",НЕТ,ДА"</formula1>
    </dataValidation>
    <dataValidation type="list" sqref="BC26">
      <formula1>",Не облагается,5"</formula1>
    </dataValidation>
    <dataValidation type="list" sqref="BE26">
      <formula1>",НЕТ,ДА"</formula1>
    </dataValidation>
    <dataValidation type="list" sqref="BG26">
      <formula1>",НЕТ,ДА"</formula1>
    </dataValidation>
    <dataValidation type="list" sqref="BH26">
      <formula1>",НЕТ,ДА"</formula1>
    </dataValidation>
    <dataValidation type="list" sqref="BI26">
      <formula1>",НЕТ,ДА"</formula1>
    </dataValidation>
    <dataValidation type="list" sqref="BC27">
      <formula1>",Не облагается,5"</formula1>
    </dataValidation>
    <dataValidation type="list" sqref="BE27">
      <formula1>",НЕТ,ДА"</formula1>
    </dataValidation>
    <dataValidation type="list" sqref="BG27">
      <formula1>",НЕТ,ДА"</formula1>
    </dataValidation>
    <dataValidation type="list" sqref="BH27">
      <formula1>",НЕТ,ДА"</formula1>
    </dataValidation>
    <dataValidation type="list" sqref="BI27">
      <formula1>",НЕТ,ДА"</formula1>
    </dataValidation>
    <dataValidation type="list" sqref="BC28">
      <formula1>",Не облагается,5"</formula1>
    </dataValidation>
    <dataValidation type="list" sqref="BE28">
      <formula1>",НЕТ,ДА"</formula1>
    </dataValidation>
    <dataValidation type="list" sqref="BG28">
      <formula1>",НЕТ,ДА"</formula1>
    </dataValidation>
    <dataValidation type="list" sqref="BH28">
      <formula1>",НЕТ,ДА"</formula1>
    </dataValidation>
    <dataValidation type="list" sqref="BI28">
      <formula1>",НЕТ,ДА"</formula1>
    </dataValidation>
    <dataValidation type="list" sqref="BC29">
      <formula1>",Не облагается,5"</formula1>
    </dataValidation>
    <dataValidation type="list" sqref="BE29">
      <formula1>",НЕТ,ДА"</formula1>
    </dataValidation>
    <dataValidation type="list" sqref="BG29">
      <formula1>",НЕТ,ДА"</formula1>
    </dataValidation>
    <dataValidation type="list" sqref="BH29">
      <formula1>",НЕТ,ДА"</formula1>
    </dataValidation>
    <dataValidation type="list" sqref="BI29">
      <formula1>",НЕТ,ДА"</formula1>
    </dataValidation>
    <dataValidation type="list" sqref="BC30">
      <formula1>",Не облагается,5"</formula1>
    </dataValidation>
    <dataValidation type="list" sqref="BE30">
      <formula1>",НЕТ,ДА"</formula1>
    </dataValidation>
    <dataValidation type="list" sqref="BG30">
      <formula1>",НЕТ,ДА"</formula1>
    </dataValidation>
    <dataValidation type="list" sqref="BH30">
      <formula1>",НЕТ,ДА"</formula1>
    </dataValidation>
    <dataValidation type="list" sqref="BI30">
      <formula1>",НЕТ,ДА"</formula1>
    </dataValidation>
    <dataValidation type="list" sqref="BC31">
      <formula1>",Не облагается,5"</formula1>
    </dataValidation>
    <dataValidation type="list" sqref="BE31">
      <formula1>",НЕТ,ДА"</formula1>
    </dataValidation>
    <dataValidation type="list" sqref="BG31">
      <formula1>",НЕТ,ДА"</formula1>
    </dataValidation>
    <dataValidation type="list" sqref="BH31">
      <formula1>",НЕТ,ДА"</formula1>
    </dataValidation>
    <dataValidation type="list" sqref="BI31">
      <formula1>",НЕТ,ДА"</formula1>
    </dataValidation>
    <dataValidation type="list" sqref="BC32">
      <formula1>",Не облагается,5"</formula1>
    </dataValidation>
    <dataValidation type="list" sqref="BE32">
      <formula1>",НЕТ,ДА"</formula1>
    </dataValidation>
    <dataValidation type="list" sqref="BG32">
      <formula1>",НЕТ,ДА"</formula1>
    </dataValidation>
    <dataValidation type="list" sqref="BH32">
      <formula1>",НЕТ,ДА"</formula1>
    </dataValidation>
    <dataValidation type="list" sqref="BI32">
      <formula1>",НЕТ,ДА"</formula1>
    </dataValidation>
    <dataValidation type="list" sqref="BC33">
      <formula1>",Не облагается,5"</formula1>
    </dataValidation>
    <dataValidation type="list" sqref="BE33">
      <formula1>",НЕТ,ДА"</formula1>
    </dataValidation>
    <dataValidation type="list" sqref="BG33">
      <formula1>",НЕТ,ДА"</formula1>
    </dataValidation>
    <dataValidation type="list" sqref="BH33">
      <formula1>",НЕТ,ДА"</formula1>
    </dataValidation>
    <dataValidation type="list" sqref="BI33">
      <formula1>",НЕТ,ДА"</formula1>
    </dataValidation>
    <dataValidation type="list" sqref="BC34">
      <formula1>",Не облагается,5"</formula1>
    </dataValidation>
    <dataValidation type="list" sqref="BE34">
      <formula1>",НЕТ,ДА"</formula1>
    </dataValidation>
    <dataValidation type="list" sqref="BG34">
      <formula1>",НЕТ,ДА"</formula1>
    </dataValidation>
    <dataValidation type="list" sqref="BH34">
      <formula1>",НЕТ,ДА"</formula1>
    </dataValidation>
    <dataValidation type="list" sqref="BI34">
      <formula1>",НЕТ,ДА"</formula1>
    </dataValidation>
    <dataValidation type="list" sqref="BC35">
      <formula1>",Не облагается,5"</formula1>
    </dataValidation>
    <dataValidation type="list" sqref="BE35">
      <formula1>",НЕТ,ДА"</formula1>
    </dataValidation>
    <dataValidation type="list" sqref="BG35">
      <formula1>",НЕТ,ДА"</formula1>
    </dataValidation>
    <dataValidation type="list" sqref="BH35">
      <formula1>",НЕТ,ДА"</formula1>
    </dataValidation>
    <dataValidation type="list" sqref="BI35">
      <formula1>",НЕТ,ДА"</formula1>
    </dataValidation>
    <dataValidation type="list" sqref="BC36">
      <formula1>",Не облагается,5"</formula1>
    </dataValidation>
    <dataValidation type="list" sqref="BE36">
      <formula1>",НЕТ,ДА"</formula1>
    </dataValidation>
    <dataValidation type="list" sqref="BG36">
      <formula1>",НЕТ,ДА"</formula1>
    </dataValidation>
    <dataValidation type="list" sqref="BH36">
      <formula1>",НЕТ,ДА"</formula1>
    </dataValidation>
    <dataValidation type="list" sqref="BI36">
      <formula1>",НЕТ,ДА"</formula1>
    </dataValidation>
    <dataValidation type="list" sqref="BC37">
      <formula1>",Не облагается,5"</formula1>
    </dataValidation>
    <dataValidation type="list" sqref="BE37">
      <formula1>",НЕТ,ДА"</formula1>
    </dataValidation>
    <dataValidation type="list" sqref="BG37">
      <formula1>",НЕТ,ДА"</formula1>
    </dataValidation>
    <dataValidation type="list" sqref="BH37">
      <formula1>",НЕТ,ДА"</formula1>
    </dataValidation>
    <dataValidation type="list" sqref="BI37">
      <formula1>",НЕТ,ДА"</formula1>
    </dataValidation>
    <dataValidation type="list" sqref="BC38">
      <formula1>",Не облагается,5"</formula1>
    </dataValidation>
    <dataValidation type="list" sqref="BE38">
      <formula1>",НЕТ,ДА"</formula1>
    </dataValidation>
    <dataValidation type="list" sqref="BG38">
      <formula1>",НЕТ,ДА"</formula1>
    </dataValidation>
    <dataValidation type="list" sqref="BH38">
      <formula1>",НЕТ,ДА"</formula1>
    </dataValidation>
    <dataValidation type="list" sqref="BI38">
      <formula1>",НЕТ,ДА"</formula1>
    </dataValidation>
    <dataValidation type="list" sqref="BC39">
      <formula1>",Не облагается,5"</formula1>
    </dataValidation>
    <dataValidation type="list" sqref="BE39">
      <formula1>",НЕТ,ДА"</formula1>
    </dataValidation>
    <dataValidation type="list" sqref="BG39">
      <formula1>",НЕТ,ДА"</formula1>
    </dataValidation>
    <dataValidation type="list" sqref="BH39">
      <formula1>",НЕТ,ДА"</formula1>
    </dataValidation>
    <dataValidation type="list" sqref="BI39">
      <formula1>",НЕТ,ДА"</formula1>
    </dataValidation>
    <dataValidation type="list" sqref="BC40">
      <formula1>",Не облагается,5"</formula1>
    </dataValidation>
    <dataValidation type="list" sqref="BE40">
      <formula1>",НЕТ,ДА"</formula1>
    </dataValidation>
    <dataValidation type="list" sqref="BG40">
      <formula1>",НЕТ,ДА"</formula1>
    </dataValidation>
    <dataValidation type="list" sqref="BH40">
      <formula1>",НЕТ,ДА"</formula1>
    </dataValidation>
    <dataValidation type="list" sqref="BI40">
      <formula1>",НЕТ,ДА"</formula1>
    </dataValidation>
    <dataValidation type="list" sqref="BC41">
      <formula1>",Не облагается,5"</formula1>
    </dataValidation>
    <dataValidation type="list" sqref="BE41">
      <formula1>",НЕТ,ДА"</formula1>
    </dataValidation>
    <dataValidation type="list" sqref="BG41">
      <formula1>",НЕТ,ДА"</formula1>
    </dataValidation>
    <dataValidation type="list" sqref="BH41">
      <formula1>",НЕТ,ДА"</formula1>
    </dataValidation>
    <dataValidation type="list" sqref="BI41">
      <formula1>",НЕТ,ДА"</formula1>
    </dataValidation>
    <dataValidation type="list" sqref="BC42">
      <formula1>",Не облагается,5"</formula1>
    </dataValidation>
    <dataValidation type="list" sqref="BE42">
      <formula1>",НЕТ,ДА"</formula1>
    </dataValidation>
    <dataValidation type="list" sqref="BG42">
      <formula1>",НЕТ,ДА"</formula1>
    </dataValidation>
    <dataValidation type="list" sqref="BH42">
      <formula1>",НЕТ,ДА"</formula1>
    </dataValidation>
    <dataValidation type="list" sqref="BI42">
      <formula1>",НЕТ,ДА"</formula1>
    </dataValidation>
    <dataValidation type="list" sqref="BC43">
      <formula1>",Не облагается,5"</formula1>
    </dataValidation>
    <dataValidation type="list" sqref="BE43">
      <formula1>",НЕТ,ДА"</formula1>
    </dataValidation>
    <dataValidation type="list" sqref="BG43">
      <formula1>",НЕТ,ДА"</formula1>
    </dataValidation>
    <dataValidation type="list" sqref="BH43">
      <formula1>",НЕТ,ДА"</formula1>
    </dataValidation>
    <dataValidation type="list" sqref="BI43">
      <formula1>",НЕТ,ДА"</formula1>
    </dataValidation>
    <dataValidation type="list" sqref="BC44">
      <formula1>",Не облагается,5"</formula1>
    </dataValidation>
    <dataValidation type="list" sqref="BE44">
      <formula1>",НЕТ,ДА"</formula1>
    </dataValidation>
    <dataValidation type="list" sqref="BG44">
      <formula1>",НЕТ,ДА"</formula1>
    </dataValidation>
    <dataValidation type="list" sqref="BH44">
      <formula1>",НЕТ,ДА"</formula1>
    </dataValidation>
    <dataValidation type="list" sqref="BI44">
      <formula1>",НЕТ,ДА"</formula1>
    </dataValidation>
    <dataValidation type="list" sqref="BC45">
      <formula1>",Не облагается,5"</formula1>
    </dataValidation>
    <dataValidation type="list" sqref="BE45">
      <formula1>",НЕТ,ДА"</formula1>
    </dataValidation>
    <dataValidation type="list" sqref="BG45">
      <formula1>",НЕТ,ДА"</formula1>
    </dataValidation>
    <dataValidation type="list" sqref="BH45">
      <formula1>",НЕТ,ДА"</formula1>
    </dataValidation>
    <dataValidation type="list" sqref="BI45">
      <formula1>",НЕТ,ДА"</formula1>
    </dataValidation>
    <dataValidation type="list" sqref="BC46">
      <formula1>",Не облагается,5"</formula1>
    </dataValidation>
    <dataValidation type="list" sqref="BE46">
      <formula1>",НЕТ,ДА"</formula1>
    </dataValidation>
    <dataValidation type="list" sqref="BG46">
      <formula1>",НЕТ,ДА"</formula1>
    </dataValidation>
    <dataValidation type="list" sqref="BH46">
      <formula1>",НЕТ,ДА"</formula1>
    </dataValidation>
    <dataValidation type="list" sqref="BI46">
      <formula1>",НЕТ,ДА"</formula1>
    </dataValidation>
    <dataValidation type="list" sqref="BC47">
      <formula1>",Не облагается,5"</formula1>
    </dataValidation>
    <dataValidation type="list" sqref="BE47">
      <formula1>",НЕТ,ДА"</formula1>
    </dataValidation>
    <dataValidation type="list" sqref="BG47">
      <formula1>",НЕТ,ДА"</formula1>
    </dataValidation>
    <dataValidation type="list" sqref="BH47">
      <formula1>",НЕТ,ДА"</formula1>
    </dataValidation>
    <dataValidation type="list" sqref="BI47">
      <formula1>",НЕТ,ДА"</formula1>
    </dataValidation>
    <dataValidation type="list" sqref="BC48">
      <formula1>",Не облагается,5"</formula1>
    </dataValidation>
    <dataValidation type="list" sqref="BE48">
      <formula1>",НЕТ,ДА"</formula1>
    </dataValidation>
    <dataValidation type="list" sqref="BG48">
      <formula1>",НЕТ,ДА"</formula1>
    </dataValidation>
    <dataValidation type="list" sqref="BH48">
      <formula1>",НЕТ,ДА"</formula1>
    </dataValidation>
    <dataValidation type="list" sqref="BI48">
      <formula1>",НЕТ,ДА"</formula1>
    </dataValidation>
    <dataValidation type="list" sqref="BC49">
      <formula1>",Не облагается,5"</formula1>
    </dataValidation>
    <dataValidation type="list" sqref="BE49">
      <formula1>",НЕТ,ДА"</formula1>
    </dataValidation>
    <dataValidation type="list" sqref="BG49">
      <formula1>",НЕТ,ДА"</formula1>
    </dataValidation>
    <dataValidation type="list" sqref="BH49">
      <formula1>",НЕТ,ДА"</formula1>
    </dataValidation>
    <dataValidation type="list" sqref="BI49">
      <formula1>",НЕТ,ДА"</formula1>
    </dataValidation>
    <dataValidation type="list" sqref="BC50">
      <formula1>",Не облагается,5"</formula1>
    </dataValidation>
    <dataValidation type="list" sqref="BE50">
      <formula1>",НЕТ,ДА"</formula1>
    </dataValidation>
    <dataValidation type="list" sqref="BG50">
      <formula1>",НЕТ,ДА"</formula1>
    </dataValidation>
    <dataValidation type="list" sqref="BH50">
      <formula1>",НЕТ,ДА"</formula1>
    </dataValidation>
    <dataValidation type="list" sqref="BI50">
      <formula1>",НЕТ,ДА"</formula1>
    </dataValidation>
    <dataValidation type="list" sqref="BC51">
      <formula1>",Не облагается,5"</formula1>
    </dataValidation>
    <dataValidation type="list" sqref="BE51">
      <formula1>",НЕТ,ДА"</formula1>
    </dataValidation>
    <dataValidation type="list" sqref="BG51">
      <formula1>",НЕТ,ДА"</formula1>
    </dataValidation>
    <dataValidation type="list" sqref="BH51">
      <formula1>",НЕТ,ДА"</formula1>
    </dataValidation>
    <dataValidation type="list" sqref="BI51">
      <formula1>",НЕТ,ДА"</formula1>
    </dataValidation>
    <dataValidation type="list" sqref="BC52">
      <formula1>",Не облагается,5"</formula1>
    </dataValidation>
    <dataValidation type="list" sqref="BE52">
      <formula1>",НЕТ,ДА"</formula1>
    </dataValidation>
    <dataValidation type="list" sqref="BG52">
      <formula1>",НЕТ,ДА"</formula1>
    </dataValidation>
    <dataValidation type="list" sqref="BH52">
      <formula1>",НЕТ,ДА"</formula1>
    </dataValidation>
    <dataValidation type="list" sqref="BI52">
      <formula1>",НЕТ,ДА"</formula1>
    </dataValidation>
    <dataValidation type="list" sqref="BC53">
      <formula1>",Не облагается,5"</formula1>
    </dataValidation>
    <dataValidation type="list" sqref="BE53">
      <formula1>",НЕТ,ДА"</formula1>
    </dataValidation>
    <dataValidation type="list" sqref="BG53">
      <formula1>",НЕТ,ДА"</formula1>
    </dataValidation>
    <dataValidation type="list" sqref="BH53">
      <formula1>",НЕТ,ДА"</formula1>
    </dataValidation>
    <dataValidation type="list" sqref="BI53">
      <formula1>",НЕТ,ДА"</formula1>
    </dataValidation>
    <dataValidation type="list" sqref="BC54">
      <formula1>",Не облагается,5"</formula1>
    </dataValidation>
    <dataValidation type="list" sqref="BE54">
      <formula1>",НЕТ,ДА"</formula1>
    </dataValidation>
    <dataValidation type="list" sqref="BG54">
      <formula1>",НЕТ,ДА"</formula1>
    </dataValidation>
    <dataValidation type="list" sqref="BH54">
      <formula1>",НЕТ,ДА"</formula1>
    </dataValidation>
    <dataValidation type="list" sqref="BI54">
      <formula1>",НЕТ,ДА"</formula1>
    </dataValidation>
    <dataValidation type="list" sqref="BC55">
      <formula1>",Не облагается,5"</formula1>
    </dataValidation>
    <dataValidation type="list" sqref="BE55">
      <formula1>",НЕТ,ДА"</formula1>
    </dataValidation>
    <dataValidation type="list" sqref="BG55">
      <formula1>",НЕТ,ДА"</formula1>
    </dataValidation>
    <dataValidation type="list" sqref="BH55">
      <formula1>",НЕТ,ДА"</formula1>
    </dataValidation>
    <dataValidation type="list" sqref="BI55">
      <formula1>",НЕТ,ДА"</formula1>
    </dataValidation>
    <dataValidation type="list" sqref="BC56">
      <formula1>",Не облагается,5"</formula1>
    </dataValidation>
    <dataValidation type="list" sqref="BE56">
      <formula1>",НЕТ,ДА"</formula1>
    </dataValidation>
    <dataValidation type="list" sqref="BG56">
      <formula1>",НЕТ,ДА"</formula1>
    </dataValidation>
    <dataValidation type="list" sqref="BH56">
      <formula1>",НЕТ,ДА"</formula1>
    </dataValidation>
    <dataValidation type="list" sqref="BI56">
      <formula1>",НЕТ,ДА"</formula1>
    </dataValidation>
    <dataValidation type="list" sqref="BC57">
      <formula1>",Не облагается,5"</formula1>
    </dataValidation>
    <dataValidation type="list" sqref="BE57">
      <formula1>",НЕТ,ДА"</formula1>
    </dataValidation>
    <dataValidation type="list" sqref="BG57">
      <formula1>",НЕТ,ДА"</formula1>
    </dataValidation>
    <dataValidation type="list" sqref="BH57">
      <formula1>",НЕТ,ДА"</formula1>
    </dataValidation>
    <dataValidation type="list" sqref="BI57">
      <formula1>",НЕТ,ДА"</formula1>
    </dataValidation>
    <dataValidation type="list" sqref="BC58">
      <formula1>",Не облагается,5"</formula1>
    </dataValidation>
    <dataValidation type="list" sqref="BE58">
      <formula1>",НЕТ,ДА"</formula1>
    </dataValidation>
    <dataValidation type="list" sqref="BG58">
      <formula1>",НЕТ,ДА"</formula1>
    </dataValidation>
    <dataValidation type="list" sqref="BH58">
      <formula1>",НЕТ,ДА"</formula1>
    </dataValidation>
    <dataValidation type="list" sqref="BI58">
      <formula1>",НЕТ,ДА"</formula1>
    </dataValidation>
    <dataValidation type="list" sqref="BC59">
      <formula1>",Не облагается,5"</formula1>
    </dataValidation>
    <dataValidation type="list" sqref="BE59">
      <formula1>",НЕТ,ДА"</formula1>
    </dataValidation>
    <dataValidation type="list" sqref="BG59">
      <formula1>",НЕТ,ДА"</formula1>
    </dataValidation>
    <dataValidation type="list" sqref="BH59">
      <formula1>",НЕТ,ДА"</formula1>
    </dataValidation>
    <dataValidation type="list" sqref="BI59">
      <formula1>",НЕТ,ДА"</formula1>
    </dataValidation>
    <dataValidation type="list" sqref="BC60">
      <formula1>",Не облагается,5"</formula1>
    </dataValidation>
    <dataValidation type="list" sqref="BE60">
      <formula1>",НЕТ,ДА"</formula1>
    </dataValidation>
    <dataValidation type="list" sqref="BG60">
      <formula1>",НЕТ,ДА"</formula1>
    </dataValidation>
    <dataValidation type="list" sqref="BH60">
      <formula1>",НЕТ,ДА"</formula1>
    </dataValidation>
    <dataValidation type="list" sqref="BI60">
      <formula1>",НЕТ,ДА"</formula1>
    </dataValidation>
    <dataValidation type="list" sqref="BC61">
      <formula1>",Не облагается,5"</formula1>
    </dataValidation>
    <dataValidation type="list" sqref="BE61">
      <formula1>",НЕТ,ДА"</formula1>
    </dataValidation>
    <dataValidation type="list" sqref="BG61">
      <formula1>",НЕТ,ДА"</formula1>
    </dataValidation>
    <dataValidation type="list" sqref="BH61">
      <formula1>",НЕТ,ДА"</formula1>
    </dataValidation>
    <dataValidation type="list" sqref="BI61">
      <formula1>",НЕТ,ДА"</formula1>
    </dataValidation>
    <dataValidation type="list" sqref="BC62">
      <formula1>",Не облагается,5"</formula1>
    </dataValidation>
    <dataValidation type="list" sqref="BE62">
      <formula1>",НЕТ,ДА"</formula1>
    </dataValidation>
    <dataValidation type="list" sqref="BG62">
      <formula1>",НЕТ,ДА"</formula1>
    </dataValidation>
    <dataValidation type="list" sqref="BH62">
      <formula1>",НЕТ,ДА"</formula1>
    </dataValidation>
    <dataValidation type="list" sqref="BI62">
      <formula1>",НЕТ,ДА"</formula1>
    </dataValidation>
    <dataValidation type="list" sqref="BC63">
      <formula1>",Не облагается,5"</formula1>
    </dataValidation>
    <dataValidation type="list" sqref="BE63">
      <formula1>",НЕТ,ДА"</formula1>
    </dataValidation>
    <dataValidation type="list" sqref="BG63">
      <formula1>",НЕТ,ДА"</formula1>
    </dataValidation>
    <dataValidation type="list" sqref="BH63">
      <formula1>",НЕТ,ДА"</formula1>
    </dataValidation>
    <dataValidation type="list" sqref="BI63">
      <formula1>",НЕТ,ДА"</formula1>
    </dataValidation>
    <dataValidation type="list" sqref="BC64">
      <formula1>",Не облагается,5"</formula1>
    </dataValidation>
    <dataValidation type="list" sqref="BE64">
      <formula1>",НЕТ,ДА"</formula1>
    </dataValidation>
    <dataValidation type="list" sqref="BG64">
      <formula1>",НЕТ,ДА"</formula1>
    </dataValidation>
    <dataValidation type="list" sqref="BH64">
      <formula1>",НЕТ,ДА"</formula1>
    </dataValidation>
    <dataValidation type="list" sqref="BI64">
      <formula1>",НЕТ,ДА"</formula1>
    </dataValidation>
    <dataValidation type="list" sqref="BC65">
      <formula1>",Не облагается,5"</formula1>
    </dataValidation>
    <dataValidation type="list" sqref="BE65">
      <formula1>",НЕТ,ДА"</formula1>
    </dataValidation>
    <dataValidation type="list" sqref="BG65">
      <formula1>",НЕТ,ДА"</formula1>
    </dataValidation>
    <dataValidation type="list" sqref="BH65">
      <formula1>",НЕТ,ДА"</formula1>
    </dataValidation>
    <dataValidation type="list" sqref="BI65">
      <formula1>",НЕТ,ДА"</formula1>
    </dataValidation>
    <dataValidation type="list" sqref="BC66">
      <formula1>",Не облагается,5"</formula1>
    </dataValidation>
    <dataValidation type="list" sqref="BE66">
      <formula1>",НЕТ,ДА"</formula1>
    </dataValidation>
    <dataValidation type="list" sqref="BG66">
      <formula1>",НЕТ,ДА"</formula1>
    </dataValidation>
    <dataValidation type="list" sqref="BH66">
      <formula1>",НЕТ,ДА"</formula1>
    </dataValidation>
    <dataValidation type="list" sqref="BI66">
      <formula1>",НЕТ,ДА"</formula1>
    </dataValidation>
    <dataValidation type="list" sqref="BC67">
      <formula1>",Не облагается,5"</formula1>
    </dataValidation>
    <dataValidation type="list" sqref="BE67">
      <formula1>",НЕТ,ДА"</formula1>
    </dataValidation>
    <dataValidation type="list" sqref="BG67">
      <formula1>",НЕТ,ДА"</formula1>
    </dataValidation>
    <dataValidation type="list" sqref="BH67">
      <formula1>",НЕТ,ДА"</formula1>
    </dataValidation>
    <dataValidation type="list" sqref="BI67">
      <formula1>",НЕТ,ДА"</formula1>
    </dataValidation>
    <dataValidation type="list" sqref="BC68">
      <formula1>",Не облагается,5"</formula1>
    </dataValidation>
    <dataValidation type="list" sqref="BE68">
      <formula1>",НЕТ,ДА"</formula1>
    </dataValidation>
    <dataValidation type="list" sqref="BG68">
      <formula1>",НЕТ,ДА"</formula1>
    </dataValidation>
    <dataValidation type="list" sqref="BH68">
      <formula1>",НЕТ,ДА"</formula1>
    </dataValidation>
    <dataValidation type="list" sqref="BI68">
      <formula1>",НЕТ,ДА"</formula1>
    </dataValidation>
    <dataValidation type="list" sqref="BC69">
      <formula1>",Не облагается,5"</formula1>
    </dataValidation>
    <dataValidation type="list" sqref="BE69">
      <formula1>",НЕТ,ДА"</formula1>
    </dataValidation>
    <dataValidation type="list" sqref="BG69">
      <formula1>",НЕТ,ДА"</formula1>
    </dataValidation>
    <dataValidation type="list" sqref="BH69">
      <formula1>",НЕТ,ДА"</formula1>
    </dataValidation>
    <dataValidation type="list" sqref="BI69">
      <formula1>",НЕТ,ДА"</formula1>
    </dataValidation>
    <dataValidation type="list" sqref="BC70">
      <formula1>",Не облагается,5"</formula1>
    </dataValidation>
    <dataValidation type="list" sqref="BE70">
      <formula1>",НЕТ,ДА"</formula1>
    </dataValidation>
    <dataValidation type="list" sqref="BG70">
      <formula1>",НЕТ,ДА"</formula1>
    </dataValidation>
    <dataValidation type="list" sqref="BH70">
      <formula1>",НЕТ,ДА"</formula1>
    </dataValidation>
    <dataValidation type="list" sqref="BI70">
      <formula1>",НЕТ,ДА"</formula1>
    </dataValidation>
    <dataValidation type="list" sqref="BC71">
      <formula1>",Не облагается,5"</formula1>
    </dataValidation>
    <dataValidation type="list" sqref="BE71">
      <formula1>",НЕТ,ДА"</formula1>
    </dataValidation>
    <dataValidation type="list" sqref="BG71">
      <formula1>",НЕТ,ДА"</formula1>
    </dataValidation>
    <dataValidation type="list" sqref="BH71">
      <formula1>",НЕТ,ДА"</formula1>
    </dataValidation>
    <dataValidation type="list" sqref="BI71">
      <formula1>",НЕТ,ДА"</formula1>
    </dataValidation>
    <dataValidation type="list" sqref="BC72">
      <formula1>",Не облагается,5"</formula1>
    </dataValidation>
    <dataValidation type="list" sqref="BE72">
      <formula1>",НЕТ,ДА"</formula1>
    </dataValidation>
    <dataValidation type="list" sqref="BG72">
      <formula1>",НЕТ,ДА"</formula1>
    </dataValidation>
    <dataValidation type="list" sqref="BH72">
      <formula1>",НЕТ,ДА"</formula1>
    </dataValidation>
    <dataValidation type="list" sqref="BI72">
      <formula1>",НЕТ,ДА"</formula1>
    </dataValidation>
    <dataValidation type="list" sqref="BC73">
      <formula1>",Не облагается,5"</formula1>
    </dataValidation>
    <dataValidation type="list" sqref="BE73">
      <formula1>",НЕТ,ДА"</formula1>
    </dataValidation>
    <dataValidation type="list" sqref="BG73">
      <formula1>",НЕТ,ДА"</formula1>
    </dataValidation>
    <dataValidation type="list" sqref="BH73">
      <formula1>",НЕТ,ДА"</formula1>
    </dataValidation>
    <dataValidation type="list" sqref="BI73">
      <formula1>",НЕТ,ДА"</formula1>
    </dataValidation>
    <dataValidation type="list" sqref="BC74">
      <formula1>",Не облагается,5"</formula1>
    </dataValidation>
    <dataValidation type="list" sqref="BE74">
      <formula1>",НЕТ,ДА"</formula1>
    </dataValidation>
    <dataValidation type="list" sqref="BG74">
      <formula1>",НЕТ,ДА"</formula1>
    </dataValidation>
    <dataValidation type="list" sqref="BH74">
      <formula1>",НЕТ,ДА"</formula1>
    </dataValidation>
    <dataValidation type="list" sqref="BI74">
      <formula1>",НЕТ,ДА"</formula1>
    </dataValidation>
    <dataValidation type="list" sqref="BC75">
      <formula1>",Не облагается,5"</formula1>
    </dataValidation>
    <dataValidation type="list" sqref="BE75">
      <formula1>",НЕТ,ДА"</formula1>
    </dataValidation>
    <dataValidation type="list" sqref="BG75">
      <formula1>",НЕТ,ДА"</formula1>
    </dataValidation>
    <dataValidation type="list" sqref="BH75">
      <formula1>",НЕТ,ДА"</formula1>
    </dataValidation>
    <dataValidation type="list" sqref="BI75">
      <formula1>",НЕТ,ДА"</formula1>
    </dataValidation>
    <dataValidation type="list" sqref="BC76">
      <formula1>",Не облагается,5"</formula1>
    </dataValidation>
    <dataValidation type="list" sqref="BE76">
      <formula1>",НЕТ,ДА"</formula1>
    </dataValidation>
    <dataValidation type="list" sqref="BG76">
      <formula1>",НЕТ,ДА"</formula1>
    </dataValidation>
    <dataValidation type="list" sqref="BH76">
      <formula1>",НЕТ,ДА"</formula1>
    </dataValidation>
    <dataValidation type="list" sqref="BI76">
      <formula1>",НЕТ,ДА"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